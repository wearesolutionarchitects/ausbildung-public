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19" codeName="{00000000-0000-0000-0000-000000000000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d.docs.live.net/b08c92bfaba213aa/_Juan Gia/_SmartAndPro/IBB Unterricht/02 - US IT/BGP/BGP-MuKb Basic/16/"/>
    </mc:Choice>
  </mc:AlternateContent>
  <xr:revisionPtr revIDLastSave="737" documentId="8_{479B1FC0-222D-4CA6-B240-CAFBA89AECE4}" xr6:coauthVersionLast="47" xr6:coauthVersionMax="47" xr10:uidLastSave="{7A7BCDFA-2C08-447D-B312-D2EA110F2E51}"/>
  <bookViews>
    <workbookView xWindow="26445" yWindow="2220" windowWidth="23175" windowHeight="17670" xr2:uid="{00000000-000D-0000-FFFF-FFFF00000000}"/>
  </bookViews>
  <sheets>
    <sheet name="Übung" sheetId="10" r:id="rId1"/>
    <sheet name="1 - Kalkulation" sheetId="13" r:id="rId2"/>
    <sheet name="2 - Vorwärts" sheetId="11" r:id="rId3"/>
    <sheet name="3 - Rückwärts" sheetId="12" r:id="rId4"/>
    <sheet name="4 - Differenz" sheetId="15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" i="12" l="1"/>
  <c r="I19" i="15"/>
  <c r="I9" i="15"/>
  <c r="I11" i="15" s="1"/>
  <c r="I7" i="15"/>
  <c r="I12" i="15" s="1"/>
  <c r="I15" i="15" s="1"/>
  <c r="I6" i="15"/>
  <c r="H25" i="15"/>
  <c r="H23" i="15"/>
  <c r="H21" i="15"/>
  <c r="F21" i="15"/>
  <c r="I22" i="12"/>
  <c r="I9" i="12"/>
  <c r="I11" i="12" s="1"/>
  <c r="I12" i="12" s="1"/>
  <c r="I15" i="12" s="1"/>
  <c r="I7" i="12"/>
  <c r="I6" i="12"/>
  <c r="I22" i="11"/>
  <c r="H25" i="11"/>
  <c r="H23" i="11"/>
  <c r="H21" i="11"/>
  <c r="I9" i="11"/>
  <c r="I11" i="11" s="1"/>
  <c r="I6" i="11"/>
  <c r="I7" i="11" s="1"/>
  <c r="I12" i="11" s="1"/>
  <c r="I15" i="11" s="1"/>
  <c r="H20" i="13"/>
  <c r="H17" i="13"/>
  <c r="H16" i="13"/>
  <c r="H9" i="13"/>
  <c r="H6" i="13"/>
  <c r="G21" i="13"/>
  <c r="G23" i="13"/>
  <c r="G25" i="13"/>
  <c r="H11" i="13"/>
  <c r="H7" i="13"/>
  <c r="H12" i="13" s="1"/>
  <c r="H15" i="13" s="1"/>
  <c r="H27" i="10"/>
  <c r="H25" i="10"/>
  <c r="H23" i="10"/>
  <c r="G26" i="10"/>
  <c r="G24" i="10"/>
  <c r="G22" i="10"/>
  <c r="H10" i="10"/>
  <c r="H12" i="10" s="1"/>
  <c r="H7" i="10"/>
  <c r="H8" i="10" s="1"/>
  <c r="H13" i="10" s="1"/>
  <c r="H16" i="10" s="1"/>
  <c r="I17" i="15" l="1"/>
  <c r="I16" i="15"/>
  <c r="I17" i="12"/>
  <c r="M21" i="12" s="1"/>
  <c r="I16" i="12"/>
  <c r="I19" i="12" s="1"/>
  <c r="I16" i="11"/>
  <c r="I17" i="11"/>
  <c r="I19" i="11" s="1"/>
  <c r="H19" i="13"/>
  <c r="H17" i="10"/>
  <c r="H18" i="10"/>
  <c r="M28" i="12"/>
  <c r="M30" i="12"/>
  <c r="M29" i="12"/>
  <c r="M26" i="12"/>
  <c r="M25" i="12"/>
  <c r="N23" i="12"/>
  <c r="M23" i="12"/>
  <c r="N22" i="12"/>
  <c r="N21" i="12"/>
  <c r="M20" i="12"/>
  <c r="N18" i="12"/>
  <c r="N17" i="12"/>
  <c r="Q15" i="12"/>
  <c r="N14" i="12"/>
  <c r="N13" i="12"/>
  <c r="N12" i="12"/>
  <c r="N10" i="12"/>
  <c r="N9" i="12"/>
  <c r="Q33" i="11"/>
  <c r="N34" i="11"/>
  <c r="I20" i="15" l="1"/>
  <c r="I21" i="15" s="1"/>
  <c r="I22" i="15" s="1"/>
  <c r="I23" i="15" s="1"/>
  <c r="I24" i="15" s="1"/>
  <c r="I25" i="15" s="1"/>
  <c r="I20" i="12"/>
  <c r="M17" i="12" s="1"/>
  <c r="M18" i="12"/>
  <c r="M22" i="12"/>
  <c r="I20" i="11"/>
  <c r="I21" i="11" s="1"/>
  <c r="N35" i="11"/>
  <c r="H21" i="13"/>
  <c r="H20" i="10"/>
  <c r="H21" i="10" s="1"/>
  <c r="N31" i="11"/>
  <c r="N27" i="11"/>
  <c r="H25" i="12"/>
  <c r="H23" i="12"/>
  <c r="H21" i="12"/>
  <c r="I26" i="15" l="1"/>
  <c r="I27" i="15" s="1"/>
  <c r="I21" i="12"/>
  <c r="I23" i="11"/>
  <c r="N32" i="11"/>
  <c r="H22" i="13"/>
  <c r="H23" i="13" s="1"/>
  <c r="H22" i="10"/>
  <c r="M13" i="12" l="1"/>
  <c r="M14" i="12"/>
  <c r="I24" i="11"/>
  <c r="I25" i="11" s="1"/>
  <c r="N30" i="11"/>
  <c r="H24" i="13"/>
  <c r="H25" i="13" s="1"/>
  <c r="H24" i="10"/>
  <c r="H26" i="10" s="1"/>
  <c r="I23" i="12" l="1"/>
  <c r="I26" i="11"/>
  <c r="I27" i="11" s="1"/>
  <c r="N28" i="11"/>
  <c r="H26" i="13"/>
  <c r="H27" i="13" s="1"/>
  <c r="H28" i="10"/>
  <c r="I25" i="12" l="1"/>
  <c r="I24" i="12"/>
  <c r="M11" i="12" s="1"/>
  <c r="M12" i="12"/>
  <c r="I26" i="12" l="1"/>
  <c r="M9" i="12" s="1"/>
  <c r="M10" i="12"/>
  <c r="I27" i="12" l="1"/>
  <c r="M8" i="12" s="1"/>
  <c r="M17" i="11" l="1"/>
  <c r="M15" i="11"/>
  <c r="M13" i="11"/>
  <c r="M16" i="11"/>
  <c r="M14" i="11"/>
  <c r="M12" i="11"/>
  <c r="M35" i="11" l="1"/>
  <c r="M32" i="11" l="1"/>
  <c r="M34" i="11"/>
  <c r="M30" i="11" l="1"/>
  <c r="M31" i="11"/>
  <c r="M28" i="11" l="1"/>
  <c r="M29" i="11"/>
  <c r="M26" i="11" l="1"/>
  <c r="M27" i="11"/>
  <c r="M24" i="11" l="1"/>
  <c r="M25" i="11"/>
</calcChain>
</file>

<file path=xl/sharedStrings.xml><?xml version="1.0" encoding="utf-8"?>
<sst xmlns="http://schemas.openxmlformats.org/spreadsheetml/2006/main" count="316" uniqueCount="80">
  <si>
    <r>
      <rPr>
        <sz val="11"/>
        <color theme="1"/>
        <rFont val="Aptos Narrow"/>
        <family val="2"/>
      </rPr>
      <t>©</t>
    </r>
    <r>
      <rPr>
        <sz val="14.3"/>
        <color theme="1"/>
        <rFont val="Calibri"/>
        <family val="2"/>
      </rPr>
      <t xml:space="preserve"> Juan García</t>
    </r>
  </si>
  <si>
    <t>Du kanns in diese Datei nur die graue Zeilen modifizieren.</t>
  </si>
  <si>
    <t>Siehe Excel-Datei Prozentrechnung!!!</t>
  </si>
  <si>
    <t>%</t>
  </si>
  <si>
    <t>Fertigungsmaterial</t>
  </si>
  <si>
    <t>+</t>
  </si>
  <si>
    <t>Fertigungsmaterialgemeinkosten (%)</t>
  </si>
  <si>
    <t>=</t>
  </si>
  <si>
    <t>Materialkosten</t>
  </si>
  <si>
    <t>Fertigungslöhne</t>
  </si>
  <si>
    <t>Fertigungsgemeinkosten (%)</t>
  </si>
  <si>
    <t>Sondereinzelkosten der Fertigung</t>
  </si>
  <si>
    <t>Bestandminderungen</t>
  </si>
  <si>
    <t>Fertigungskosten</t>
  </si>
  <si>
    <t>Bestandmehrungen</t>
  </si>
  <si>
    <t>Herstellkosten der Erzeugung</t>
  </si>
  <si>
    <t>Verwaltungsgemeinkosten (%)</t>
  </si>
  <si>
    <t>Vertriebsgemeinkosten (%)</t>
  </si>
  <si>
    <t>-</t>
  </si>
  <si>
    <t>sondereinzelkosten des Vertriebs</t>
  </si>
  <si>
    <t>Herstellkosten des umsatzes</t>
  </si>
  <si>
    <t>Gewinnzuschlag (%)</t>
  </si>
  <si>
    <t>Skonto (%)</t>
  </si>
  <si>
    <t>Vertreterprovision (%) (wenn gibt)</t>
  </si>
  <si>
    <t>Rabatt (%)</t>
  </si>
  <si>
    <t>Selbstkosten des Umsatzes</t>
  </si>
  <si>
    <t>Barverkaufspreis</t>
  </si>
  <si>
    <t>Zielverkaufspreis</t>
  </si>
  <si>
    <r>
      <t>Vertreterprovision (%) (</t>
    </r>
    <r>
      <rPr>
        <i/>
        <sz val="11"/>
        <color theme="1"/>
        <rFont val="Calibri"/>
        <family val="2"/>
        <scheme val="minor"/>
      </rPr>
      <t>wenn gibt</t>
    </r>
    <r>
      <rPr>
        <sz val="11"/>
        <color theme="1"/>
        <rFont val="Calibri"/>
        <family val="2"/>
        <scheme val="minor"/>
      </rPr>
      <t>)</t>
    </r>
  </si>
  <si>
    <t>Zwischenverkaufspreis (ZwVP)</t>
  </si>
  <si>
    <t>Listenverkaufspreis (Netto-Verkaufspreis)</t>
  </si>
  <si>
    <r>
      <rPr>
        <sz val="11"/>
        <color theme="0"/>
        <rFont val="Aptos Narrow"/>
        <family val="2"/>
      </rPr>
      <t>©</t>
    </r>
    <r>
      <rPr>
        <sz val="14.3"/>
        <color theme="0"/>
        <rFont val="Calibri"/>
        <family val="2"/>
      </rPr>
      <t xml:space="preserve"> Juan García</t>
    </r>
  </si>
  <si>
    <r>
      <t xml:space="preserve">Sonder wichtig zu berücksichtigen ist ab der </t>
    </r>
    <r>
      <rPr>
        <b/>
        <sz val="11"/>
        <color theme="1"/>
        <rFont val="Calibri"/>
        <family val="2"/>
        <scheme val="minor"/>
      </rPr>
      <t>Barverkaufspreis</t>
    </r>
  </si>
  <si>
    <t>Hier müssen wir denken, wofür dieser Preis steht.</t>
  </si>
  <si>
    <r>
      <t xml:space="preserve">Also </t>
    </r>
    <r>
      <rPr>
        <b/>
        <sz val="11"/>
        <color theme="1"/>
        <rFont val="Calibri"/>
        <family val="2"/>
        <scheme val="minor"/>
      </rPr>
      <t>der BVP ist ein prozentuale Anteil</t>
    </r>
    <r>
      <rPr>
        <sz val="11"/>
        <color theme="1"/>
        <rFont val="Calibri"/>
        <family val="2"/>
        <scheme val="minor"/>
      </rPr>
      <t xml:space="preserve"> des ZVP.</t>
    </r>
  </si>
  <si>
    <t>Ab der Barverkaufspreis wird jeder Preis nicht mehr als 100 % betrachten, sondern als prozentuale Anteil des nachfolgenden Preis.</t>
  </si>
  <si>
    <t>Beispiel (wie in der Tabelle)</t>
  </si>
  <si>
    <r>
      <rPr>
        <b/>
        <sz val="11"/>
        <color theme="1"/>
        <rFont val="Calibri"/>
        <family val="2"/>
        <scheme val="minor"/>
      </rPr>
      <t>BVP</t>
    </r>
    <r>
      <rPr>
        <sz val="11"/>
        <color theme="1"/>
        <rFont val="Calibri"/>
        <family val="2"/>
        <scheme val="minor"/>
      </rPr>
      <t xml:space="preserve"> wird </t>
    </r>
  </si>
  <si>
    <t>der ZVP</t>
  </si>
  <si>
    <t>… weil der Skonto</t>
  </si>
  <si>
    <t>beträgt</t>
  </si>
  <si>
    <r>
      <rPr>
        <b/>
        <sz val="11"/>
        <color theme="1"/>
        <rFont val="Calibri"/>
        <family val="2"/>
        <scheme val="minor"/>
      </rPr>
      <t>ZVP</t>
    </r>
    <r>
      <rPr>
        <sz val="11"/>
        <color theme="1"/>
        <rFont val="Calibri"/>
        <family val="2"/>
        <scheme val="minor"/>
      </rPr>
      <t xml:space="preserve"> wird</t>
    </r>
  </si>
  <si>
    <t>der ZwVP (wenn es Vertreterprovision (VerPro) gibt)</t>
  </si>
  <si>
    <t>… weil die VerPro</t>
  </si>
  <si>
    <r>
      <rPr>
        <b/>
        <sz val="11"/>
        <color theme="1"/>
        <rFont val="Calibri"/>
        <family val="2"/>
        <scheme val="minor"/>
      </rPr>
      <t>ZwVP</t>
    </r>
    <r>
      <rPr>
        <sz val="11"/>
        <color theme="1"/>
        <rFont val="Calibri"/>
        <family val="2"/>
        <scheme val="minor"/>
      </rPr>
      <t xml:space="preserve"> wird</t>
    </r>
  </si>
  <si>
    <t>der Listenverkaufspreis (Netto-Verkaufspreis)</t>
  </si>
  <si>
    <t>… weil der Rabatt</t>
  </si>
  <si>
    <t>beträgt.</t>
  </si>
  <si>
    <r>
      <t xml:space="preserve">Hiermit wird der </t>
    </r>
    <r>
      <rPr>
        <b/>
        <sz val="11"/>
        <color theme="1"/>
        <rFont val="Calibri"/>
        <family val="2"/>
        <scheme val="minor"/>
      </rPr>
      <t>LVP</t>
    </r>
  </si>
  <si>
    <t>der Ende-Preis, und so der Preis, dass die Kunden für den Produkt/Dienstleistung bezahlen müssen.</t>
  </si>
  <si>
    <t>In dieser Punkt wird</t>
  </si>
  <si>
    <r>
      <rPr>
        <b/>
        <sz val="11"/>
        <color theme="1"/>
        <rFont val="Calibri"/>
        <family val="2"/>
        <scheme val="minor"/>
      </rPr>
      <t>MwSt</t>
    </r>
    <r>
      <rPr>
        <sz val="11"/>
        <color theme="1"/>
        <rFont val="Calibri"/>
        <family val="2"/>
        <scheme val="minor"/>
      </rPr>
      <t xml:space="preserve"> Berechnet, weil der Ende-Kunde übernimmt immer die MwSt-Kosten.</t>
    </r>
  </si>
  <si>
    <r>
      <t xml:space="preserve">Das heißt, dass </t>
    </r>
    <r>
      <rPr>
        <b/>
        <sz val="11"/>
        <color theme="1"/>
        <rFont val="Calibri"/>
        <family val="2"/>
        <scheme val="minor"/>
      </rPr>
      <t>der Kunde am Ende Bezahlt 119 % Preis</t>
    </r>
    <r>
      <rPr>
        <sz val="11"/>
        <color theme="1"/>
        <rFont val="Calibri"/>
        <family val="2"/>
        <scheme val="minor"/>
      </rPr>
      <t>.</t>
    </r>
  </si>
  <si>
    <t>Rückwärts wäre es…</t>
  </si>
  <si>
    <t>Bruttopreis</t>
  </si>
  <si>
    <t>MwSt</t>
  </si>
  <si>
    <t>LVP</t>
  </si>
  <si>
    <t>= Netto-Verkaufspreis</t>
  </si>
  <si>
    <t>Rabatt</t>
  </si>
  <si>
    <t>ZwVP</t>
  </si>
  <si>
    <t>= LVP % - Rabatt % = ZwVP % = 100 % Preis der ZwVP</t>
  </si>
  <si>
    <t>VerPro</t>
  </si>
  <si>
    <t>ZVP</t>
  </si>
  <si>
    <t>= ZwVP % - VerPro % = ZVP % = 100 % Preis der ZVP</t>
  </si>
  <si>
    <t>Skonto</t>
  </si>
  <si>
    <t>BVP</t>
  </si>
  <si>
    <t>= ZVP % - Skonto % = BVP % = 100 % Preis der BVP</t>
  </si>
  <si>
    <t xml:space="preserve">BVP % = Selbstkosten % + Gewinn % = </t>
  </si>
  <si>
    <t>Gewinn</t>
  </si>
  <si>
    <t>Selbstkosten</t>
  </si>
  <si>
    <t>Selbstkosten % = Herstellkosten des Umsatzes % + VwGK % + VGK %</t>
  </si>
  <si>
    <t>Um Rückwärts zu berechnen sollten wir es wie folgend umgehen:</t>
  </si>
  <si>
    <t>Sondereinzelkosten</t>
  </si>
  <si>
    <t>VGK</t>
  </si>
  <si>
    <t>VwGK</t>
  </si>
  <si>
    <t>Herstellkosten des Umsatzes</t>
  </si>
  <si>
    <t>Herstellkosten des Umsatzes € = Herstellkosten der Erzeugung € + Bmehrungen € + Bminderungen €</t>
  </si>
  <si>
    <t>Bmehrungen</t>
  </si>
  <si>
    <t>Bminderungen</t>
  </si>
  <si>
    <t>Herstellkosten der Erzeugung € = Fertigungskosten € + Materialkosten 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</si>
</sst>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sz val="14.3"/>
      <color theme="1"/>
      <name val="Calibri"/>
      <family val="2"/>
    </font>
    <font>
      <sz val="11"/>
      <color theme="0"/>
      <name val="Calibri"/>
      <family val="2"/>
    </font>
    <font>
      <sz val="11"/>
      <color theme="0"/>
      <name val="Aptos Narrow"/>
      <family val="2"/>
    </font>
    <font>
      <sz val="14.3"/>
      <color theme="0"/>
      <name val="Calibri"/>
      <family val="2"/>
    </font>
    <font>
      <b/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A636"/>
        <bgColor indexed="64"/>
      </patternFill>
    </fill>
    <fill>
      <patternFill patternType="solid">
        <fgColor rgb="FF848ED6"/>
        <bgColor indexed="64"/>
      </patternFill>
    </fill>
    <fill>
      <patternFill patternType="solid">
        <fgColor rgb="FFC73FD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3"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2" fillId="0" borderId="0" xfId="0" applyFont="1" applyAlignment="1">
      <alignment horizontal="left"/>
    </xf>
    <xf numFmtId="44" fontId="0" fillId="0" borderId="0" xfId="0" applyNumberFormat="1"/>
    <xf numFmtId="0" fontId="2" fillId="0" borderId="0" xfId="0" quotePrefix="1" applyFont="1" applyAlignment="1">
      <alignment horizontal="center"/>
    </xf>
    <xf numFmtId="0" fontId="0" fillId="9" borderId="0" xfId="0" applyFill="1"/>
    <xf numFmtId="44" fontId="2" fillId="10" borderId="5" xfId="0" applyNumberFormat="1" applyFont="1" applyFill="1" applyBorder="1" applyProtection="1">
      <protection locked="0"/>
    </xf>
    <xf numFmtId="0" fontId="2" fillId="0" borderId="0" xfId="0" applyFont="1"/>
    <xf numFmtId="0" fontId="4" fillId="0" borderId="0" xfId="0" applyFont="1"/>
    <xf numFmtId="0" fontId="10" fillId="9" borderId="0" xfId="0" applyFont="1" applyFill="1"/>
    <xf numFmtId="1" fontId="0" fillId="0" borderId="0" xfId="0" applyNumberFormat="1"/>
    <xf numFmtId="1" fontId="0" fillId="0" borderId="0" xfId="0" applyNumberFormat="1" applyAlignment="1">
      <alignment horizontal="left"/>
    </xf>
    <xf numFmtId="1" fontId="2" fillId="10" borderId="5" xfId="1" applyNumberFormat="1" applyFont="1" applyFill="1" applyBorder="1" applyAlignment="1" applyProtection="1">
      <alignment horizontal="center"/>
      <protection locked="0"/>
    </xf>
    <xf numFmtId="1" fontId="0" fillId="0" borderId="0" xfId="1" applyNumberFormat="1" applyFont="1" applyAlignment="1" applyProtection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1" fontId="0" fillId="0" borderId="0" xfId="1" applyNumberFormat="1" applyFont="1" applyBorder="1" applyAlignment="1" applyProtection="1">
      <alignment horizontal="center"/>
    </xf>
    <xf numFmtId="1" fontId="0" fillId="0" borderId="0" xfId="1" applyNumberFormat="1" applyFont="1" applyFill="1" applyBorder="1" applyAlignment="1" applyProtection="1">
      <alignment horizontal="center"/>
    </xf>
    <xf numFmtId="1" fontId="2" fillId="0" borderId="0" xfId="1" applyNumberFormat="1" applyFont="1" applyFill="1" applyBorder="1" applyAlignment="1" applyProtection="1">
      <alignment horizontal="center"/>
      <protection locked="0"/>
    </xf>
    <xf numFmtId="9" fontId="0" fillId="0" borderId="0" xfId="1" applyFont="1" applyFill="1" applyBorder="1" applyAlignment="1" applyProtection="1">
      <alignment horizontal="center"/>
    </xf>
    <xf numFmtId="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7" borderId="3" xfId="0" quotePrefix="1" applyFont="1" applyFill="1" applyBorder="1" applyAlignment="1">
      <alignment horizontal="center"/>
    </xf>
    <xf numFmtId="1" fontId="2" fillId="7" borderId="2" xfId="0" applyNumberFormat="1" applyFont="1" applyFill="1" applyBorder="1" applyAlignment="1">
      <alignment horizontal="center"/>
    </xf>
    <xf numFmtId="1" fontId="2" fillId="7" borderId="3" xfId="0" applyNumberFormat="1" applyFont="1" applyFill="1" applyBorder="1" applyAlignment="1">
      <alignment horizontal="center"/>
    </xf>
    <xf numFmtId="44" fontId="0" fillId="0" borderId="3" xfId="0" applyNumberFormat="1" applyBorder="1"/>
    <xf numFmtId="0" fontId="2" fillId="8" borderId="2" xfId="0" quotePrefix="1" applyFont="1" applyFill="1" applyBorder="1" applyAlignment="1">
      <alignment horizontal="center"/>
    </xf>
    <xf numFmtId="0" fontId="2" fillId="8" borderId="2" xfId="0" applyFont="1" applyFill="1" applyBorder="1"/>
    <xf numFmtId="1" fontId="0" fillId="8" borderId="0" xfId="0" applyNumberFormat="1" applyFill="1" applyAlignment="1">
      <alignment horizontal="center"/>
    </xf>
    <xf numFmtId="1" fontId="2" fillId="8" borderId="2" xfId="0" applyNumberFormat="1" applyFont="1" applyFill="1" applyBorder="1" applyAlignment="1">
      <alignment horizontal="center"/>
    </xf>
    <xf numFmtId="44" fontId="0" fillId="0" borderId="2" xfId="0" applyNumberFormat="1" applyBorder="1"/>
    <xf numFmtId="0" fontId="2" fillId="6" borderId="2" xfId="0" quotePrefix="1" applyFont="1" applyFill="1" applyBorder="1" applyAlignment="1">
      <alignment horizontal="center"/>
    </xf>
    <xf numFmtId="1" fontId="0" fillId="6" borderId="0" xfId="0" applyNumberFormat="1" applyFill="1" applyAlignment="1">
      <alignment horizontal="center"/>
    </xf>
    <xf numFmtId="1" fontId="2" fillId="6" borderId="2" xfId="0" applyNumberFormat="1" applyFont="1" applyFill="1" applyBorder="1" applyAlignment="1">
      <alignment horizontal="center"/>
    </xf>
    <xf numFmtId="0" fontId="2" fillId="5" borderId="2" xfId="0" quotePrefix="1" applyFont="1" applyFill="1" applyBorder="1" applyAlignment="1">
      <alignment horizontal="center"/>
    </xf>
    <xf numFmtId="1" fontId="0" fillId="5" borderId="0" xfId="0" applyNumberFormat="1" applyFill="1" applyAlignment="1">
      <alignment horizontal="center"/>
    </xf>
    <xf numFmtId="1" fontId="2" fillId="5" borderId="2" xfId="0" applyNumberFormat="1" applyFont="1" applyFill="1" applyBorder="1" applyAlignment="1">
      <alignment horizontal="center"/>
    </xf>
    <xf numFmtId="0" fontId="2" fillId="0" borderId="3" xfId="0" quotePrefix="1" applyFont="1" applyBorder="1" applyAlignment="1">
      <alignment horizontal="center"/>
    </xf>
    <xf numFmtId="0" fontId="2" fillId="0" borderId="3" xfId="0" applyFont="1" applyBorder="1" applyAlignment="1">
      <alignment horizontal="left"/>
    </xf>
    <xf numFmtId="1" fontId="0" fillId="0" borderId="4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9" fontId="0" fillId="0" borderId="0" xfId="1" applyFont="1" applyProtection="1"/>
    <xf numFmtId="1" fontId="2" fillId="0" borderId="3" xfId="0" applyNumberFormat="1" applyFont="1" applyBorder="1" applyAlignment="1">
      <alignment horizontal="center"/>
    </xf>
    <xf numFmtId="0" fontId="2" fillId="3" borderId="1" xfId="0" quotePrefix="1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44" fontId="0" fillId="0" borderId="1" xfId="0" applyNumberFormat="1" applyBorder="1"/>
    <xf numFmtId="0" fontId="2" fillId="4" borderId="2" xfId="0" quotePrefix="1" applyFon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44" fontId="0" fillId="0" borderId="4" xfId="0" applyNumberFormat="1" applyBorder="1"/>
    <xf numFmtId="0" fontId="2" fillId="2" borderId="1" xfId="0" quotePrefix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5" fillId="0" borderId="0" xfId="0" applyFont="1"/>
    <xf numFmtId="44" fontId="2" fillId="0" borderId="0" xfId="0" applyNumberFormat="1" applyFont="1"/>
    <xf numFmtId="1" fontId="2" fillId="0" borderId="0" xfId="1" applyNumberFormat="1" applyFont="1" applyFill="1" applyBorder="1" applyAlignment="1" applyProtection="1">
      <alignment horizontal="center"/>
    </xf>
    <xf numFmtId="0" fontId="6" fillId="0" borderId="0" xfId="0" applyFont="1"/>
    <xf numFmtId="9" fontId="0" fillId="0" borderId="0" xfId="0" applyNumberFormat="1"/>
    <xf numFmtId="0" fontId="7" fillId="0" borderId="0" xfId="0" applyFont="1"/>
    <xf numFmtId="0" fontId="13" fillId="0" borderId="0" xfId="0" applyFont="1"/>
    <xf numFmtId="44" fontId="0" fillId="0" borderId="0" xfId="0" quotePrefix="1" applyNumberFormat="1"/>
    <xf numFmtId="9" fontId="0" fillId="0" borderId="0" xfId="0" applyNumberFormat="1" applyAlignment="1">
      <alignment horizontal="left"/>
    </xf>
    <xf numFmtId="0" fontId="0" fillId="0" borderId="0" xfId="0" quotePrefix="1"/>
    <xf numFmtId="0" fontId="2" fillId="11" borderId="0" xfId="0" applyFont="1" applyFill="1"/>
    <xf numFmtId="44" fontId="0" fillId="11" borderId="0" xfId="0" applyNumberFormat="1" applyFill="1"/>
    <xf numFmtId="9" fontId="0" fillId="11" borderId="0" xfId="0" applyNumberFormat="1" applyFill="1"/>
    <xf numFmtId="0" fontId="0" fillId="11" borderId="0" xfId="0" applyFill="1"/>
    <xf numFmtId="0" fontId="2" fillId="13" borderId="0" xfId="0" applyFont="1" applyFill="1"/>
    <xf numFmtId="44" fontId="0" fillId="13" borderId="0" xfId="0" applyNumberFormat="1" applyFill="1"/>
    <xf numFmtId="9" fontId="0" fillId="13" borderId="0" xfId="0" applyNumberFormat="1" applyFill="1"/>
    <xf numFmtId="0" fontId="2" fillId="12" borderId="0" xfId="0" applyFont="1" applyFill="1"/>
    <xf numFmtId="44" fontId="0" fillId="12" borderId="0" xfId="0" applyNumberFormat="1" applyFill="1"/>
    <xf numFmtId="0" fontId="0" fillId="12" borderId="0" xfId="0" applyFill="1"/>
    <xf numFmtId="9" fontId="0" fillId="12" borderId="0" xfId="0" applyNumberFormat="1" applyFill="1"/>
    <xf numFmtId="0" fontId="2" fillId="10" borderId="0" xfId="0" applyFont="1" applyFill="1"/>
    <xf numFmtId="44" fontId="0" fillId="10" borderId="0" xfId="0" applyNumberFormat="1" applyFill="1"/>
    <xf numFmtId="0" fontId="0" fillId="10" borderId="0" xfId="0" applyFill="1"/>
    <xf numFmtId="0" fontId="2" fillId="2" borderId="0" xfId="0" applyFont="1" applyFill="1"/>
    <xf numFmtId="44" fontId="0" fillId="2" borderId="0" xfId="0" applyNumberFormat="1" applyFill="1"/>
    <xf numFmtId="9" fontId="0" fillId="2" borderId="0" xfId="0" applyNumberFormat="1" applyFill="1"/>
    <xf numFmtId="9" fontId="2" fillId="10" borderId="5" xfId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2" fillId="7" borderId="3" xfId="0" applyFont="1" applyFill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5" borderId="2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14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horizontal="left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colors>
    <mruColors>
      <color rgb="FFC73FD5"/>
      <color rgb="FF848ED6"/>
      <color rgb="FFDEA636"/>
      <color rgb="FF49E371"/>
      <color rgb="FFD953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1077058</xdr:colOff>
      <xdr:row>1</xdr:row>
      <xdr:rowOff>183173</xdr:rowOff>
    </xdr:from>
    <xdr:to>
      <xdr:col>5</xdr:col>
      <xdr:colOff>322385</xdr:colOff>
      <xdr:row>2</xdr:row>
      <xdr:rowOff>168521</xdr:rowOff>
    </xdr:to>
    <xdr:sp macro="" textlink="">
      <xdr:nvSpPr>
        <xdr:cNvPr id="50" name="Rechteck 49">
          <a:extLst>
            <a:ext uri="{FF2B5EF4-FFF2-40B4-BE49-F238E27FC236}">
              <a16:creationId xmlns:a16="http://schemas.microsoft.com/office/drawing/2014/main" id="{2D14F3EE-656D-4F77-A02C-9D123D796645}"/>
            </a:ext>
          </a:extLst>
        </xdr:cNvPr>
        <xdr:cNvSpPr/>
      </xdr:nvSpPr>
      <xdr:spPr>
        <a:xfrm>
          <a:off x="4125058" y="424961"/>
          <a:ext cx="490904" cy="17584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725365</xdr:colOff>
      <xdr:row>3</xdr:row>
      <xdr:rowOff>102577</xdr:rowOff>
    </xdr:from>
    <xdr:to>
      <xdr:col>8</xdr:col>
      <xdr:colOff>29307</xdr:colOff>
      <xdr:row>19</xdr:row>
      <xdr:rowOff>29307</xdr:rowOff>
    </xdr:to>
    <xdr:sp macro="" textlink="">
      <xdr:nvSpPr>
        <xdr:cNvPr id="26" name="Rechteck 25">
          <a:extLst>
            <a:ext uri="{FF2B5EF4-FFF2-40B4-BE49-F238E27FC236}">
              <a16:creationId xmlns:a16="http://schemas.microsoft.com/office/drawing/2014/main" id="{1D337064-1E42-CFE9-FD38-0F23DBD98991}"/>
            </a:ext>
          </a:extLst>
        </xdr:cNvPr>
        <xdr:cNvSpPr/>
      </xdr:nvSpPr>
      <xdr:spPr>
        <a:xfrm>
          <a:off x="725365" y="674077"/>
          <a:ext cx="6374423" cy="3963865"/>
        </a:xfrm>
        <a:prstGeom prst="rect">
          <a:avLst/>
        </a:prstGeom>
        <a:noFill/>
        <a:ln w="28575">
          <a:solidFill>
            <a:srgbClr val="D953C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95250</xdr:colOff>
      <xdr:row>3</xdr:row>
      <xdr:rowOff>87923</xdr:rowOff>
    </xdr:from>
    <xdr:to>
      <xdr:col>8</xdr:col>
      <xdr:colOff>498231</xdr:colOff>
      <xdr:row>19</xdr:row>
      <xdr:rowOff>14653</xdr:rowOff>
    </xdr:to>
    <xdr:sp macro="" textlink="">
      <xdr:nvSpPr>
        <xdr:cNvPr id="27" name="Geschweifte Klammer rechts 26">
          <a:extLst>
            <a:ext uri="{FF2B5EF4-FFF2-40B4-BE49-F238E27FC236}">
              <a16:creationId xmlns:a16="http://schemas.microsoft.com/office/drawing/2014/main" id="{5A812E1D-E5D9-8A04-CE95-CD3C0B81A4C4}"/>
            </a:ext>
          </a:extLst>
        </xdr:cNvPr>
        <xdr:cNvSpPr/>
      </xdr:nvSpPr>
      <xdr:spPr>
        <a:xfrm>
          <a:off x="7165731" y="659423"/>
          <a:ext cx="402981" cy="3963865"/>
        </a:xfrm>
        <a:prstGeom prst="rightBrace">
          <a:avLst/>
        </a:prstGeom>
        <a:ln w="28575">
          <a:solidFill>
            <a:srgbClr val="D953C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8</xdr:col>
      <xdr:colOff>681403</xdr:colOff>
      <xdr:row>10</xdr:row>
      <xdr:rowOff>183173</xdr:rowOff>
    </xdr:from>
    <xdr:ext cx="2996712" cy="264560"/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1D601CB2-EA61-57AF-8C31-199D5E253A1A}"/>
            </a:ext>
          </a:extLst>
        </xdr:cNvPr>
        <xdr:cNvSpPr txBox="1"/>
      </xdr:nvSpPr>
      <xdr:spPr>
        <a:xfrm>
          <a:off x="7751884" y="2483827"/>
          <a:ext cx="29967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 b="1"/>
            <a:t>Zuschlagskalkulation</a:t>
          </a:r>
        </a:p>
      </xdr:txBody>
    </xdr:sp>
    <xdr:clientData/>
  </xdr:oneCellAnchor>
  <xdr:twoCellAnchor>
    <xdr:from>
      <xdr:col>0</xdr:col>
      <xdr:colOff>725365</xdr:colOff>
      <xdr:row>19</xdr:row>
      <xdr:rowOff>65942</xdr:rowOff>
    </xdr:from>
    <xdr:to>
      <xdr:col>8</xdr:col>
      <xdr:colOff>29307</xdr:colOff>
      <xdr:row>27</xdr:row>
      <xdr:rowOff>51289</xdr:rowOff>
    </xdr:to>
    <xdr:sp macro="" textlink="">
      <xdr:nvSpPr>
        <xdr:cNvPr id="29" name="Rechteck 28">
          <a:extLst>
            <a:ext uri="{FF2B5EF4-FFF2-40B4-BE49-F238E27FC236}">
              <a16:creationId xmlns:a16="http://schemas.microsoft.com/office/drawing/2014/main" id="{0748A8FB-E03F-2CE3-3B8B-D0F0D408D6A9}"/>
            </a:ext>
          </a:extLst>
        </xdr:cNvPr>
        <xdr:cNvSpPr/>
      </xdr:nvSpPr>
      <xdr:spPr>
        <a:xfrm>
          <a:off x="725365" y="4674577"/>
          <a:ext cx="6374423" cy="2036885"/>
        </a:xfrm>
        <a:prstGeom prst="rect">
          <a:avLst/>
        </a:prstGeom>
        <a:noFill/>
        <a:ln w="28575">
          <a:solidFill>
            <a:srgbClr val="49E37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95250</xdr:colOff>
      <xdr:row>19</xdr:row>
      <xdr:rowOff>73268</xdr:rowOff>
    </xdr:from>
    <xdr:to>
      <xdr:col>8</xdr:col>
      <xdr:colOff>498231</xdr:colOff>
      <xdr:row>27</xdr:row>
      <xdr:rowOff>51289</xdr:rowOff>
    </xdr:to>
    <xdr:sp macro="" textlink="">
      <xdr:nvSpPr>
        <xdr:cNvPr id="30" name="Geschweifte Klammer rechts 29">
          <a:extLst>
            <a:ext uri="{FF2B5EF4-FFF2-40B4-BE49-F238E27FC236}">
              <a16:creationId xmlns:a16="http://schemas.microsoft.com/office/drawing/2014/main" id="{82905510-1EEF-8D4A-3A9F-9B57D0A98ECA}"/>
            </a:ext>
          </a:extLst>
        </xdr:cNvPr>
        <xdr:cNvSpPr/>
      </xdr:nvSpPr>
      <xdr:spPr>
        <a:xfrm>
          <a:off x="7165731" y="4681903"/>
          <a:ext cx="402981" cy="2029559"/>
        </a:xfrm>
        <a:prstGeom prst="rightBrace">
          <a:avLst/>
        </a:prstGeom>
        <a:ln w="28575">
          <a:solidFill>
            <a:srgbClr val="49E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8</xdr:col>
      <xdr:colOff>681403</xdr:colOff>
      <xdr:row>22</xdr:row>
      <xdr:rowOff>161192</xdr:rowOff>
    </xdr:from>
    <xdr:ext cx="2996712" cy="264560"/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B03615BA-4B58-8870-60FD-D7A1CCCF19F0}"/>
            </a:ext>
          </a:extLst>
        </xdr:cNvPr>
        <xdr:cNvSpPr txBox="1"/>
      </xdr:nvSpPr>
      <xdr:spPr>
        <a:xfrm>
          <a:off x="7751884" y="5539154"/>
          <a:ext cx="29967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 b="1"/>
            <a:t>Verkaufskalkulation</a:t>
          </a:r>
        </a:p>
      </xdr:txBody>
    </xdr:sp>
    <xdr:clientData/>
  </xdr:oneCellAnchor>
  <xdr:twoCellAnchor>
    <xdr:from>
      <xdr:col>10</xdr:col>
      <xdr:colOff>1099039</xdr:colOff>
      <xdr:row>3</xdr:row>
      <xdr:rowOff>87923</xdr:rowOff>
    </xdr:from>
    <xdr:to>
      <xdr:col>11</xdr:col>
      <xdr:colOff>109905</xdr:colOff>
      <xdr:row>27</xdr:row>
      <xdr:rowOff>80596</xdr:rowOff>
    </xdr:to>
    <xdr:sp macro="" textlink="">
      <xdr:nvSpPr>
        <xdr:cNvPr id="32" name="Geschweifte Klammer rechts 31">
          <a:extLst>
            <a:ext uri="{FF2B5EF4-FFF2-40B4-BE49-F238E27FC236}">
              <a16:creationId xmlns:a16="http://schemas.microsoft.com/office/drawing/2014/main" id="{EBB7A33D-C63E-1C70-653D-1B029365A373}"/>
            </a:ext>
          </a:extLst>
        </xdr:cNvPr>
        <xdr:cNvSpPr/>
      </xdr:nvSpPr>
      <xdr:spPr>
        <a:xfrm>
          <a:off x="9312520" y="659423"/>
          <a:ext cx="402981" cy="6081346"/>
        </a:xfrm>
        <a:prstGeom prst="rightBrace">
          <a:avLst/>
        </a:prstGeom>
        <a:ln w="28575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11</xdr:col>
      <xdr:colOff>271096</xdr:colOff>
      <xdr:row>14</xdr:row>
      <xdr:rowOff>234462</xdr:rowOff>
    </xdr:from>
    <xdr:ext cx="2996712" cy="264560"/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0ACAAF9A-0198-BB9E-A723-3480895BBCC4}"/>
            </a:ext>
          </a:extLst>
        </xdr:cNvPr>
        <xdr:cNvSpPr txBox="1"/>
      </xdr:nvSpPr>
      <xdr:spPr>
        <a:xfrm>
          <a:off x="9876692" y="3560885"/>
          <a:ext cx="29967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100" b="1"/>
            <a:t>Angebotskalkulation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562842</xdr:colOff>
      <xdr:row>20</xdr:row>
      <xdr:rowOff>4328</xdr:rowOff>
    </xdr:from>
    <xdr:to>
      <xdr:col>7</xdr:col>
      <xdr:colOff>461598</xdr:colOff>
      <xdr:row>22</xdr:row>
      <xdr:rowOff>134216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82002E63-4A0B-43A6-A610-B59ABB87D9FC}"/>
            </a:ext>
          </a:extLst>
        </xdr:cNvPr>
        <xdr:cNvGrpSpPr/>
      </xdr:nvGrpSpPr>
      <xdr:grpSpPr>
        <a:xfrm>
          <a:off x="4810992" y="4976378"/>
          <a:ext cx="946506" cy="644238"/>
          <a:chOff x="15040841" y="4853419"/>
          <a:chExt cx="1398443" cy="640774"/>
        </a:xfrm>
      </xdr:grpSpPr>
      <xdr:sp macro="" textlink="">
        <xdr:nvSpPr>
          <xdr:cNvPr id="9" name="Rechteck 8">
            <a:extLst>
              <a:ext uri="{FF2B5EF4-FFF2-40B4-BE49-F238E27FC236}">
                <a16:creationId xmlns:a16="http://schemas.microsoft.com/office/drawing/2014/main" id="{2234B60E-07B0-1707-4632-FD799068338D}"/>
              </a:ext>
            </a:extLst>
          </xdr:cNvPr>
          <xdr:cNvSpPr/>
        </xdr:nvSpPr>
        <xdr:spPr>
          <a:xfrm>
            <a:off x="15853130" y="4853419"/>
            <a:ext cx="586154" cy="285751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cxnSp macro="">
        <xdr:nvCxnSpPr>
          <xdr:cNvPr id="10" name="Gerader Verbinder 9">
            <a:extLst>
              <a:ext uri="{FF2B5EF4-FFF2-40B4-BE49-F238E27FC236}">
                <a16:creationId xmlns:a16="http://schemas.microsoft.com/office/drawing/2014/main" id="{3F106CFC-5240-D2F7-2AB6-EC60AD596B7E}"/>
              </a:ext>
            </a:extLst>
          </xdr:cNvPr>
          <xdr:cNvCxnSpPr>
            <a:stCxn id="9" idx="2"/>
          </xdr:cNvCxnSpPr>
        </xdr:nvCxnSpPr>
        <xdr:spPr>
          <a:xfrm flipH="1">
            <a:off x="16144875" y="5139170"/>
            <a:ext cx="1332" cy="121228"/>
          </a:xfrm>
          <a:prstGeom prst="line">
            <a:avLst/>
          </a:prstGeom>
          <a:ln w="285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Gerade Verbindung mit Pfeil 10">
            <a:extLst>
              <a:ext uri="{FF2B5EF4-FFF2-40B4-BE49-F238E27FC236}">
                <a16:creationId xmlns:a16="http://schemas.microsoft.com/office/drawing/2014/main" id="{27C1B88D-DF9F-FC31-2D6F-5A494AEF2203}"/>
              </a:ext>
            </a:extLst>
          </xdr:cNvPr>
          <xdr:cNvCxnSpPr/>
        </xdr:nvCxnSpPr>
        <xdr:spPr>
          <a:xfrm flipH="1">
            <a:off x="15045170" y="5264727"/>
            <a:ext cx="1112694" cy="0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Gerade Verbindung mit Pfeil 11">
            <a:extLst>
              <a:ext uri="{FF2B5EF4-FFF2-40B4-BE49-F238E27FC236}">
                <a16:creationId xmlns:a16="http://schemas.microsoft.com/office/drawing/2014/main" id="{512082D3-6DDE-E225-AFCF-507ACF1263D9}"/>
              </a:ext>
            </a:extLst>
          </xdr:cNvPr>
          <xdr:cNvCxnSpPr/>
        </xdr:nvCxnSpPr>
        <xdr:spPr>
          <a:xfrm>
            <a:off x="15040841" y="5260398"/>
            <a:ext cx="0" cy="233795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562842</xdr:colOff>
      <xdr:row>21</xdr:row>
      <xdr:rowOff>255442</xdr:rowOff>
    </xdr:from>
    <xdr:to>
      <xdr:col>7</xdr:col>
      <xdr:colOff>461598</xdr:colOff>
      <xdr:row>24</xdr:row>
      <xdr:rowOff>129886</xdr:rowOff>
    </xdr:to>
    <xdr:grpSp>
      <xdr:nvGrpSpPr>
        <xdr:cNvPr id="13" name="Gruppieren 12">
          <a:extLst>
            <a:ext uri="{FF2B5EF4-FFF2-40B4-BE49-F238E27FC236}">
              <a16:creationId xmlns:a16="http://schemas.microsoft.com/office/drawing/2014/main" id="{70668688-445F-43CD-997C-8CD535F1720B}"/>
            </a:ext>
          </a:extLst>
        </xdr:cNvPr>
        <xdr:cNvGrpSpPr/>
      </xdr:nvGrpSpPr>
      <xdr:grpSpPr>
        <a:xfrm>
          <a:off x="4810992" y="5484667"/>
          <a:ext cx="946506" cy="645969"/>
          <a:chOff x="15040841" y="4853419"/>
          <a:chExt cx="1398443" cy="640774"/>
        </a:xfrm>
      </xdr:grpSpPr>
      <xdr:sp macro="" textlink="">
        <xdr:nvSpPr>
          <xdr:cNvPr id="14" name="Rechteck 13">
            <a:extLst>
              <a:ext uri="{FF2B5EF4-FFF2-40B4-BE49-F238E27FC236}">
                <a16:creationId xmlns:a16="http://schemas.microsoft.com/office/drawing/2014/main" id="{94102391-D2BD-F057-C553-4B65D6DA1424}"/>
              </a:ext>
            </a:extLst>
          </xdr:cNvPr>
          <xdr:cNvSpPr/>
        </xdr:nvSpPr>
        <xdr:spPr>
          <a:xfrm>
            <a:off x="15853130" y="4853419"/>
            <a:ext cx="586154" cy="285751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cxnSp macro="">
        <xdr:nvCxnSpPr>
          <xdr:cNvPr id="15" name="Gerader Verbinder 14">
            <a:extLst>
              <a:ext uri="{FF2B5EF4-FFF2-40B4-BE49-F238E27FC236}">
                <a16:creationId xmlns:a16="http://schemas.microsoft.com/office/drawing/2014/main" id="{34468D70-630E-197E-EC84-F4FA9A904731}"/>
              </a:ext>
            </a:extLst>
          </xdr:cNvPr>
          <xdr:cNvCxnSpPr>
            <a:stCxn id="14" idx="2"/>
          </xdr:cNvCxnSpPr>
        </xdr:nvCxnSpPr>
        <xdr:spPr>
          <a:xfrm flipH="1">
            <a:off x="16144875" y="5139170"/>
            <a:ext cx="1332" cy="121228"/>
          </a:xfrm>
          <a:prstGeom prst="line">
            <a:avLst/>
          </a:prstGeom>
          <a:ln w="285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Gerade Verbindung mit Pfeil 15">
            <a:extLst>
              <a:ext uri="{FF2B5EF4-FFF2-40B4-BE49-F238E27FC236}">
                <a16:creationId xmlns:a16="http://schemas.microsoft.com/office/drawing/2014/main" id="{ADAFF7C3-C5B1-1EF8-A359-AFE5EB7D5C3B}"/>
              </a:ext>
            </a:extLst>
          </xdr:cNvPr>
          <xdr:cNvCxnSpPr/>
        </xdr:nvCxnSpPr>
        <xdr:spPr>
          <a:xfrm flipH="1">
            <a:off x="15045170" y="5264727"/>
            <a:ext cx="1112694" cy="0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Gerade Verbindung mit Pfeil 16">
            <a:extLst>
              <a:ext uri="{FF2B5EF4-FFF2-40B4-BE49-F238E27FC236}">
                <a16:creationId xmlns:a16="http://schemas.microsoft.com/office/drawing/2014/main" id="{D1C03FF3-99B0-9FCC-1A47-CC96F233145F}"/>
              </a:ext>
            </a:extLst>
          </xdr:cNvPr>
          <xdr:cNvCxnSpPr/>
        </xdr:nvCxnSpPr>
        <xdr:spPr>
          <a:xfrm>
            <a:off x="15040841" y="5260398"/>
            <a:ext cx="0" cy="233795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562842</xdr:colOff>
      <xdr:row>23</xdr:row>
      <xdr:rowOff>251113</xdr:rowOff>
    </xdr:from>
    <xdr:to>
      <xdr:col>7</xdr:col>
      <xdr:colOff>461598</xdr:colOff>
      <xdr:row>26</xdr:row>
      <xdr:rowOff>125557</xdr:rowOff>
    </xdr:to>
    <xdr:grpSp>
      <xdr:nvGrpSpPr>
        <xdr:cNvPr id="18" name="Gruppieren 17">
          <a:extLst>
            <a:ext uri="{FF2B5EF4-FFF2-40B4-BE49-F238E27FC236}">
              <a16:creationId xmlns:a16="http://schemas.microsoft.com/office/drawing/2014/main" id="{77EE2503-4157-4BC2-9DB0-96D5A75D5DA5}"/>
            </a:ext>
          </a:extLst>
        </xdr:cNvPr>
        <xdr:cNvGrpSpPr/>
      </xdr:nvGrpSpPr>
      <xdr:grpSpPr>
        <a:xfrm>
          <a:off x="4810992" y="5994688"/>
          <a:ext cx="946506" cy="645969"/>
          <a:chOff x="15040841" y="4853419"/>
          <a:chExt cx="1398443" cy="640774"/>
        </a:xfrm>
      </xdr:grpSpPr>
      <xdr:sp macro="" textlink="">
        <xdr:nvSpPr>
          <xdr:cNvPr id="19" name="Rechteck 18">
            <a:extLst>
              <a:ext uri="{FF2B5EF4-FFF2-40B4-BE49-F238E27FC236}">
                <a16:creationId xmlns:a16="http://schemas.microsoft.com/office/drawing/2014/main" id="{69F3CE35-DE7D-62C4-0FAD-4A6F431F4F45}"/>
              </a:ext>
            </a:extLst>
          </xdr:cNvPr>
          <xdr:cNvSpPr/>
        </xdr:nvSpPr>
        <xdr:spPr>
          <a:xfrm>
            <a:off x="15853130" y="4853419"/>
            <a:ext cx="586154" cy="285751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cxnSp macro="">
        <xdr:nvCxnSpPr>
          <xdr:cNvPr id="20" name="Gerader Verbinder 19">
            <a:extLst>
              <a:ext uri="{FF2B5EF4-FFF2-40B4-BE49-F238E27FC236}">
                <a16:creationId xmlns:a16="http://schemas.microsoft.com/office/drawing/2014/main" id="{2F096DB1-9910-11D6-8779-3DD491AC5FDF}"/>
              </a:ext>
            </a:extLst>
          </xdr:cNvPr>
          <xdr:cNvCxnSpPr>
            <a:stCxn id="19" idx="2"/>
          </xdr:cNvCxnSpPr>
        </xdr:nvCxnSpPr>
        <xdr:spPr>
          <a:xfrm flipH="1">
            <a:off x="16144875" y="5139170"/>
            <a:ext cx="1332" cy="121228"/>
          </a:xfrm>
          <a:prstGeom prst="line">
            <a:avLst/>
          </a:prstGeom>
          <a:ln w="285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Gerade Verbindung mit Pfeil 20">
            <a:extLst>
              <a:ext uri="{FF2B5EF4-FFF2-40B4-BE49-F238E27FC236}">
                <a16:creationId xmlns:a16="http://schemas.microsoft.com/office/drawing/2014/main" id="{0D501032-F9BF-E53B-EF17-BD277DF2D65E}"/>
              </a:ext>
            </a:extLst>
          </xdr:cNvPr>
          <xdr:cNvCxnSpPr/>
        </xdr:nvCxnSpPr>
        <xdr:spPr>
          <a:xfrm flipH="1">
            <a:off x="15045170" y="5264727"/>
            <a:ext cx="1112694" cy="0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Gerade Verbindung mit Pfeil 21">
            <a:extLst>
              <a:ext uri="{FF2B5EF4-FFF2-40B4-BE49-F238E27FC236}">
                <a16:creationId xmlns:a16="http://schemas.microsoft.com/office/drawing/2014/main" id="{3BDD5EC1-D2ED-7DBD-CE32-C26ECE1DB1D0}"/>
              </a:ext>
            </a:extLst>
          </xdr:cNvPr>
          <xdr:cNvCxnSpPr/>
        </xdr:nvCxnSpPr>
        <xdr:spPr>
          <a:xfrm>
            <a:off x="15040841" y="5260398"/>
            <a:ext cx="0" cy="233795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630115</xdr:colOff>
      <xdr:row>2</xdr:row>
      <xdr:rowOff>153867</xdr:rowOff>
    </xdr:from>
    <xdr:to>
      <xdr:col>15</xdr:col>
      <xdr:colOff>637442</xdr:colOff>
      <xdr:row>4</xdr:row>
      <xdr:rowOff>14655</xdr:rowOff>
    </xdr:to>
    <xdr:sp macro="" textlink="">
      <xdr:nvSpPr>
        <xdr:cNvPr id="25" name="Rechteck 24">
          <a:extLst>
            <a:ext uri="{FF2B5EF4-FFF2-40B4-BE49-F238E27FC236}">
              <a16:creationId xmlns:a16="http://schemas.microsoft.com/office/drawing/2014/main" id="{FA456C0C-9605-4A12-A806-51D2E13F476D}"/>
            </a:ext>
          </a:extLst>
        </xdr:cNvPr>
        <xdr:cNvSpPr/>
      </xdr:nvSpPr>
      <xdr:spPr>
        <a:xfrm>
          <a:off x="11686442" y="534867"/>
          <a:ext cx="769327" cy="24178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94703</xdr:colOff>
      <xdr:row>24</xdr:row>
      <xdr:rowOff>149145</xdr:rowOff>
    </xdr:from>
    <xdr:to>
      <xdr:col>7</xdr:col>
      <xdr:colOff>397217</xdr:colOff>
      <xdr:row>27</xdr:row>
      <xdr:rowOff>20269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B8BF471F-BA51-832B-FCBD-5393809B984F}"/>
            </a:ext>
          </a:extLst>
        </xdr:cNvPr>
        <xdr:cNvGrpSpPr/>
      </xdr:nvGrpSpPr>
      <xdr:grpSpPr>
        <a:xfrm rot="10800000">
          <a:off x="4342853" y="6149895"/>
          <a:ext cx="1369314" cy="642649"/>
          <a:chOff x="16893774" y="4202789"/>
          <a:chExt cx="1599374" cy="640307"/>
        </a:xfrm>
      </xdr:grpSpPr>
      <xdr:cxnSp macro="">
        <xdr:nvCxnSpPr>
          <xdr:cNvPr id="6" name="Gerade Verbindung mit Pfeil 5">
            <a:extLst>
              <a:ext uri="{FF2B5EF4-FFF2-40B4-BE49-F238E27FC236}">
                <a16:creationId xmlns:a16="http://schemas.microsoft.com/office/drawing/2014/main" id="{0C2417BA-AFF6-4BEE-BB1B-FF877BD2A437}"/>
              </a:ext>
            </a:extLst>
          </xdr:cNvPr>
          <xdr:cNvCxnSpPr/>
        </xdr:nvCxnSpPr>
        <xdr:spPr>
          <a:xfrm rot="10800000" flipH="1">
            <a:off x="17108572" y="4843095"/>
            <a:ext cx="779377" cy="1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8" name="Gruppieren 7">
            <a:extLst>
              <a:ext uri="{FF2B5EF4-FFF2-40B4-BE49-F238E27FC236}">
                <a16:creationId xmlns:a16="http://schemas.microsoft.com/office/drawing/2014/main" id="{1D3ADE73-6FBE-4BFB-BF89-8E085438262C}"/>
              </a:ext>
            </a:extLst>
          </xdr:cNvPr>
          <xdr:cNvGrpSpPr/>
        </xdr:nvGrpSpPr>
        <xdr:grpSpPr>
          <a:xfrm>
            <a:off x="16893774" y="4202789"/>
            <a:ext cx="1599374" cy="566157"/>
            <a:chOff x="14842572" y="4882776"/>
            <a:chExt cx="1596712" cy="564397"/>
          </a:xfrm>
        </xdr:grpSpPr>
        <xdr:sp macro="" textlink="">
          <xdr:nvSpPr>
            <xdr:cNvPr id="9" name="Rechteck 8">
              <a:extLst>
                <a:ext uri="{FF2B5EF4-FFF2-40B4-BE49-F238E27FC236}">
                  <a16:creationId xmlns:a16="http://schemas.microsoft.com/office/drawing/2014/main" id="{0B627B2D-9CEB-F312-BD1A-2856630C499A}"/>
                </a:ext>
              </a:extLst>
            </xdr:cNvPr>
            <xdr:cNvSpPr/>
          </xdr:nvSpPr>
          <xdr:spPr>
            <a:xfrm>
              <a:off x="15853130" y="4882776"/>
              <a:ext cx="586154" cy="256395"/>
            </a:xfrm>
            <a:prstGeom prst="rect">
              <a:avLst/>
            </a:prstGeom>
            <a:noFill/>
            <a:ln w="28575">
              <a:solidFill>
                <a:srgbClr val="FF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cxnSp macro="">
          <xdr:nvCxnSpPr>
            <xdr:cNvPr id="10" name="Gerader Verbinder 9">
              <a:extLst>
                <a:ext uri="{FF2B5EF4-FFF2-40B4-BE49-F238E27FC236}">
                  <a16:creationId xmlns:a16="http://schemas.microsoft.com/office/drawing/2014/main" id="{2366BC4F-13AB-B8D4-24D5-34E685A6B805}"/>
                </a:ext>
              </a:extLst>
            </xdr:cNvPr>
            <xdr:cNvCxnSpPr/>
          </xdr:nvCxnSpPr>
          <xdr:spPr>
            <a:xfrm rot="10800000">
              <a:off x="14842572" y="5009236"/>
              <a:ext cx="1002814" cy="0"/>
            </a:xfrm>
            <a:prstGeom prst="line">
              <a:avLst/>
            </a:prstGeom>
            <a:ln w="28575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" name="Gerade Verbindung mit Pfeil 11">
              <a:extLst>
                <a:ext uri="{FF2B5EF4-FFF2-40B4-BE49-F238E27FC236}">
                  <a16:creationId xmlns:a16="http://schemas.microsoft.com/office/drawing/2014/main" id="{DF543EEA-CBAE-3E32-9213-AFE03153CBF9}"/>
                </a:ext>
              </a:extLst>
            </xdr:cNvPr>
            <xdr:cNvCxnSpPr/>
          </xdr:nvCxnSpPr>
          <xdr:spPr>
            <a:xfrm rot="10800000" flipV="1">
              <a:off x="14845216" y="4996468"/>
              <a:ext cx="0" cy="450705"/>
            </a:xfrm>
            <a:prstGeom prst="straightConnector1">
              <a:avLst/>
            </a:prstGeom>
            <a:ln w="28575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5</xdr:col>
      <xdr:colOff>660046</xdr:colOff>
      <xdr:row>20</xdr:row>
      <xdr:rowOff>161193</xdr:rowOff>
    </xdr:from>
    <xdr:to>
      <xdr:col>7</xdr:col>
      <xdr:colOff>102577</xdr:colOff>
      <xdr:row>20</xdr:row>
      <xdr:rowOff>170390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9C46F8DD-71D9-4218-B564-1D0C6604E0F6}"/>
            </a:ext>
          </a:extLst>
        </xdr:cNvPr>
        <xdr:cNvCxnSpPr/>
      </xdr:nvCxnSpPr>
      <xdr:spPr>
        <a:xfrm flipH="1">
          <a:off x="4909661" y="5077558"/>
          <a:ext cx="739397" cy="9197"/>
        </a:xfrm>
        <a:prstGeom prst="straightConnector1">
          <a:avLst/>
        </a:prstGeom>
        <a:ln w="5715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624347</xdr:colOff>
      <xdr:row>19</xdr:row>
      <xdr:rowOff>146538</xdr:rowOff>
    </xdr:from>
    <xdr:to>
      <xdr:col>5</xdr:col>
      <xdr:colOff>630116</xdr:colOff>
      <xdr:row>20</xdr:row>
      <xdr:rowOff>146539</xdr:rowOff>
    </xdr:to>
    <xdr:cxnSp macro="">
      <xdr:nvCxnSpPr>
        <xdr:cNvPr id="24" name="Gerade Verbindung mit Pfeil 23">
          <a:extLst>
            <a:ext uri="{FF2B5EF4-FFF2-40B4-BE49-F238E27FC236}">
              <a16:creationId xmlns:a16="http://schemas.microsoft.com/office/drawing/2014/main" id="{0C20694C-DB3A-4433-9329-C21FD1FA9AAD}"/>
            </a:ext>
          </a:extLst>
        </xdr:cNvPr>
        <xdr:cNvCxnSpPr/>
      </xdr:nvCxnSpPr>
      <xdr:spPr>
        <a:xfrm flipV="1">
          <a:off x="4873962" y="4806461"/>
          <a:ext cx="5769" cy="256443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271096</xdr:colOff>
      <xdr:row>2</xdr:row>
      <xdr:rowOff>131887</xdr:rowOff>
    </xdr:from>
    <xdr:to>
      <xdr:col>15</xdr:col>
      <xdr:colOff>278423</xdr:colOff>
      <xdr:row>3</xdr:row>
      <xdr:rowOff>183175</xdr:rowOff>
    </xdr:to>
    <xdr:sp macro="" textlink="">
      <xdr:nvSpPr>
        <xdr:cNvPr id="25" name="Rechteck 24">
          <a:extLst>
            <a:ext uri="{FF2B5EF4-FFF2-40B4-BE49-F238E27FC236}">
              <a16:creationId xmlns:a16="http://schemas.microsoft.com/office/drawing/2014/main" id="{D556E716-F295-46F3-BCDB-2C39B28D43CF}"/>
            </a:ext>
          </a:extLst>
        </xdr:cNvPr>
        <xdr:cNvSpPr/>
      </xdr:nvSpPr>
      <xdr:spPr>
        <a:xfrm>
          <a:off x="11679115" y="564175"/>
          <a:ext cx="769327" cy="24178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94696</xdr:colOff>
      <xdr:row>22</xdr:row>
      <xdr:rowOff>145093</xdr:rowOff>
    </xdr:from>
    <xdr:to>
      <xdr:col>7</xdr:col>
      <xdr:colOff>394562</xdr:colOff>
      <xdr:row>25</xdr:row>
      <xdr:rowOff>16216</xdr:rowOff>
    </xdr:to>
    <xdr:grpSp>
      <xdr:nvGrpSpPr>
        <xdr:cNvPr id="40" name="Gruppieren 39">
          <a:extLst>
            <a:ext uri="{FF2B5EF4-FFF2-40B4-BE49-F238E27FC236}">
              <a16:creationId xmlns:a16="http://schemas.microsoft.com/office/drawing/2014/main" id="{E1F856C5-4D79-4A9A-0517-20AEDC0FF787}"/>
            </a:ext>
          </a:extLst>
        </xdr:cNvPr>
        <xdr:cNvGrpSpPr/>
      </xdr:nvGrpSpPr>
      <xdr:grpSpPr>
        <a:xfrm rot="10800000">
          <a:off x="4342846" y="5631493"/>
          <a:ext cx="1366666" cy="642648"/>
          <a:chOff x="16896426" y="4202789"/>
          <a:chExt cx="1596726" cy="640307"/>
        </a:xfrm>
      </xdr:grpSpPr>
      <xdr:cxnSp macro="">
        <xdr:nvCxnSpPr>
          <xdr:cNvPr id="41" name="Gerade Verbindung mit Pfeil 40">
            <a:extLst>
              <a:ext uri="{FF2B5EF4-FFF2-40B4-BE49-F238E27FC236}">
                <a16:creationId xmlns:a16="http://schemas.microsoft.com/office/drawing/2014/main" id="{A9D964AB-ABA6-0C7F-663B-3AF9D5E4B415}"/>
              </a:ext>
            </a:extLst>
          </xdr:cNvPr>
          <xdr:cNvCxnSpPr/>
        </xdr:nvCxnSpPr>
        <xdr:spPr>
          <a:xfrm rot="10800000" flipH="1">
            <a:off x="17108572" y="4843095"/>
            <a:ext cx="779377" cy="1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2" name="Gruppieren 41">
            <a:extLst>
              <a:ext uri="{FF2B5EF4-FFF2-40B4-BE49-F238E27FC236}">
                <a16:creationId xmlns:a16="http://schemas.microsoft.com/office/drawing/2014/main" id="{161B4F5F-EE62-ABF7-420D-58E42C8AA7DB}"/>
              </a:ext>
            </a:extLst>
          </xdr:cNvPr>
          <xdr:cNvGrpSpPr/>
        </xdr:nvGrpSpPr>
        <xdr:grpSpPr>
          <a:xfrm>
            <a:off x="16896426" y="4202789"/>
            <a:ext cx="1596726" cy="566157"/>
            <a:chOff x="14845216" y="4882776"/>
            <a:chExt cx="1594068" cy="564397"/>
          </a:xfrm>
        </xdr:grpSpPr>
        <xdr:sp macro="" textlink="">
          <xdr:nvSpPr>
            <xdr:cNvPr id="43" name="Rechteck 42">
              <a:extLst>
                <a:ext uri="{FF2B5EF4-FFF2-40B4-BE49-F238E27FC236}">
                  <a16:creationId xmlns:a16="http://schemas.microsoft.com/office/drawing/2014/main" id="{88CD5ABF-23CC-F326-BECB-4945B9A3F0B8}"/>
                </a:ext>
              </a:extLst>
            </xdr:cNvPr>
            <xdr:cNvSpPr/>
          </xdr:nvSpPr>
          <xdr:spPr>
            <a:xfrm>
              <a:off x="15853130" y="4882776"/>
              <a:ext cx="586154" cy="256395"/>
            </a:xfrm>
            <a:prstGeom prst="rect">
              <a:avLst/>
            </a:prstGeom>
            <a:noFill/>
            <a:ln w="28575">
              <a:solidFill>
                <a:srgbClr val="FF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cxnSp macro="">
          <xdr:nvCxnSpPr>
            <xdr:cNvPr id="45" name="Gerade Verbindung mit Pfeil 44">
              <a:extLst>
                <a:ext uri="{FF2B5EF4-FFF2-40B4-BE49-F238E27FC236}">
                  <a16:creationId xmlns:a16="http://schemas.microsoft.com/office/drawing/2014/main" id="{7914BDD8-E85C-B865-E8A2-A4F77C7544FD}"/>
                </a:ext>
              </a:extLst>
            </xdr:cNvPr>
            <xdr:cNvCxnSpPr/>
          </xdr:nvCxnSpPr>
          <xdr:spPr>
            <a:xfrm rot="10800000" flipV="1">
              <a:off x="14845216" y="5138588"/>
              <a:ext cx="1004817" cy="308585"/>
            </a:xfrm>
            <a:prstGeom prst="straightConnector1">
              <a:avLst/>
            </a:prstGeom>
            <a:ln w="28575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5</xdr:col>
      <xdr:colOff>94696</xdr:colOff>
      <xdr:row>20</xdr:row>
      <xdr:rowOff>210778</xdr:rowOff>
    </xdr:from>
    <xdr:to>
      <xdr:col>7</xdr:col>
      <xdr:colOff>394562</xdr:colOff>
      <xdr:row>23</xdr:row>
      <xdr:rowOff>8113</xdr:rowOff>
    </xdr:to>
    <xdr:grpSp>
      <xdr:nvGrpSpPr>
        <xdr:cNvPr id="49" name="Gruppieren 48">
          <a:extLst>
            <a:ext uri="{FF2B5EF4-FFF2-40B4-BE49-F238E27FC236}">
              <a16:creationId xmlns:a16="http://schemas.microsoft.com/office/drawing/2014/main" id="{AC68C15D-3CFA-DC34-6558-7AAB115AE5AA}"/>
            </a:ext>
          </a:extLst>
        </xdr:cNvPr>
        <xdr:cNvGrpSpPr/>
      </xdr:nvGrpSpPr>
      <xdr:grpSpPr>
        <a:xfrm rot="10800000">
          <a:off x="4342846" y="5182828"/>
          <a:ext cx="1366666" cy="568860"/>
          <a:chOff x="14845216" y="4882776"/>
          <a:chExt cx="1594068" cy="564397"/>
        </a:xfrm>
      </xdr:grpSpPr>
      <xdr:sp macro="" textlink="">
        <xdr:nvSpPr>
          <xdr:cNvPr id="50" name="Rechteck 49">
            <a:extLst>
              <a:ext uri="{FF2B5EF4-FFF2-40B4-BE49-F238E27FC236}">
                <a16:creationId xmlns:a16="http://schemas.microsoft.com/office/drawing/2014/main" id="{78B36EB0-0834-EC58-6B85-B91DAA9ED8B4}"/>
              </a:ext>
            </a:extLst>
          </xdr:cNvPr>
          <xdr:cNvSpPr/>
        </xdr:nvSpPr>
        <xdr:spPr>
          <a:xfrm>
            <a:off x="15853130" y="4882776"/>
            <a:ext cx="586154" cy="25639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cxnSp macro="">
        <xdr:nvCxnSpPr>
          <xdr:cNvPr id="51" name="Gerade Verbindung mit Pfeil 50">
            <a:extLst>
              <a:ext uri="{FF2B5EF4-FFF2-40B4-BE49-F238E27FC236}">
                <a16:creationId xmlns:a16="http://schemas.microsoft.com/office/drawing/2014/main" id="{1590074A-CF64-C849-369B-685BAE293156}"/>
              </a:ext>
            </a:extLst>
          </xdr:cNvPr>
          <xdr:cNvCxnSpPr/>
        </xdr:nvCxnSpPr>
        <xdr:spPr>
          <a:xfrm rot="10800000" flipV="1">
            <a:off x="14845216" y="5138588"/>
            <a:ext cx="1004817" cy="308585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308042</xdr:colOff>
      <xdr:row>7</xdr:row>
      <xdr:rowOff>109437</xdr:rowOff>
    </xdr:from>
    <xdr:to>
      <xdr:col>10</xdr:col>
      <xdr:colOff>308042</xdr:colOff>
      <xdr:row>13</xdr:row>
      <xdr:rowOff>149968</xdr:rowOff>
    </xdr:to>
    <xdr:cxnSp macro="">
      <xdr:nvCxnSpPr>
        <xdr:cNvPr id="52" name="Gerade Verbindung mit Pfeil 51">
          <a:extLst>
            <a:ext uri="{FF2B5EF4-FFF2-40B4-BE49-F238E27FC236}">
              <a16:creationId xmlns:a16="http://schemas.microsoft.com/office/drawing/2014/main" id="{CCBF6D54-1E75-4639-BB1C-82AE90569176}"/>
            </a:ext>
          </a:extLst>
        </xdr:cNvPr>
        <xdr:cNvCxnSpPr/>
      </xdr:nvCxnSpPr>
      <xdr:spPr>
        <a:xfrm>
          <a:off x="8138808" y="1686128"/>
          <a:ext cx="0" cy="1572638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308042</xdr:colOff>
      <xdr:row>16</xdr:row>
      <xdr:rowOff>109436</xdr:rowOff>
    </xdr:from>
    <xdr:to>
      <xdr:col>10</xdr:col>
      <xdr:colOff>308042</xdr:colOff>
      <xdr:row>17</xdr:row>
      <xdr:rowOff>178341</xdr:rowOff>
    </xdr:to>
    <xdr:cxnSp macro="">
      <xdr:nvCxnSpPr>
        <xdr:cNvPr id="57" name="Gerade Verbindung mit Pfeil 56">
          <a:extLst>
            <a:ext uri="{FF2B5EF4-FFF2-40B4-BE49-F238E27FC236}">
              <a16:creationId xmlns:a16="http://schemas.microsoft.com/office/drawing/2014/main" id="{414337B6-2261-E4A0-57E2-6BE944AB1484}"/>
            </a:ext>
          </a:extLst>
        </xdr:cNvPr>
        <xdr:cNvCxnSpPr/>
      </xdr:nvCxnSpPr>
      <xdr:spPr>
        <a:xfrm>
          <a:off x="8138808" y="3984287"/>
          <a:ext cx="0" cy="324256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308042</xdr:colOff>
      <xdr:row>19</xdr:row>
      <xdr:rowOff>121595</xdr:rowOff>
    </xdr:from>
    <xdr:to>
      <xdr:col>10</xdr:col>
      <xdr:colOff>308042</xdr:colOff>
      <xdr:row>22</xdr:row>
      <xdr:rowOff>158075</xdr:rowOff>
    </xdr:to>
    <xdr:cxnSp macro="">
      <xdr:nvCxnSpPr>
        <xdr:cNvPr id="59" name="Gerade Verbindung mit Pfeil 58">
          <a:extLst>
            <a:ext uri="{FF2B5EF4-FFF2-40B4-BE49-F238E27FC236}">
              <a16:creationId xmlns:a16="http://schemas.microsoft.com/office/drawing/2014/main" id="{FF6C19C6-647C-D89C-D544-6FA30BD91073}"/>
            </a:ext>
          </a:extLst>
        </xdr:cNvPr>
        <xdr:cNvCxnSpPr/>
      </xdr:nvCxnSpPr>
      <xdr:spPr>
        <a:xfrm>
          <a:off x="8138808" y="4762499"/>
          <a:ext cx="0" cy="802533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308042</xdr:colOff>
      <xdr:row>24</xdr:row>
      <xdr:rowOff>113488</xdr:rowOff>
    </xdr:from>
    <xdr:to>
      <xdr:col>10</xdr:col>
      <xdr:colOff>308042</xdr:colOff>
      <xdr:row>25</xdr:row>
      <xdr:rowOff>198606</xdr:rowOff>
    </xdr:to>
    <xdr:cxnSp macro="">
      <xdr:nvCxnSpPr>
        <xdr:cNvPr id="61" name="Gerade Verbindung mit Pfeil 60">
          <a:extLst>
            <a:ext uri="{FF2B5EF4-FFF2-40B4-BE49-F238E27FC236}">
              <a16:creationId xmlns:a16="http://schemas.microsoft.com/office/drawing/2014/main" id="{C49CEC80-3AE2-25C6-271C-613D20D85D15}"/>
            </a:ext>
          </a:extLst>
        </xdr:cNvPr>
        <xdr:cNvCxnSpPr/>
      </xdr:nvCxnSpPr>
      <xdr:spPr>
        <a:xfrm>
          <a:off x="8138808" y="6031148"/>
          <a:ext cx="0" cy="340469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308042</xdr:colOff>
      <xdr:row>27</xdr:row>
      <xdr:rowOff>52690</xdr:rowOff>
    </xdr:from>
    <xdr:to>
      <xdr:col>10</xdr:col>
      <xdr:colOff>308042</xdr:colOff>
      <xdr:row>29</xdr:row>
      <xdr:rowOff>117543</xdr:rowOff>
    </xdr:to>
    <xdr:cxnSp macro="">
      <xdr:nvCxnSpPr>
        <xdr:cNvPr id="63" name="Gerade Verbindung mit Pfeil 62">
          <a:extLst>
            <a:ext uri="{FF2B5EF4-FFF2-40B4-BE49-F238E27FC236}">
              <a16:creationId xmlns:a16="http://schemas.microsoft.com/office/drawing/2014/main" id="{E5919F13-214A-D519-E594-1E3A6A021047}"/>
            </a:ext>
          </a:extLst>
        </xdr:cNvPr>
        <xdr:cNvCxnSpPr/>
      </xdr:nvCxnSpPr>
      <xdr:spPr>
        <a:xfrm>
          <a:off x="8138808" y="6736403"/>
          <a:ext cx="0" cy="453959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60797</xdr:colOff>
      <xdr:row>11</xdr:row>
      <xdr:rowOff>68904</xdr:rowOff>
    </xdr:from>
    <xdr:to>
      <xdr:col>9</xdr:col>
      <xdr:colOff>60797</xdr:colOff>
      <xdr:row>26</xdr:row>
      <xdr:rowOff>190500</xdr:rowOff>
    </xdr:to>
    <xdr:cxnSp macro="">
      <xdr:nvCxnSpPr>
        <xdr:cNvPr id="65" name="Gerade Verbindung mit Pfeil 64">
          <a:extLst>
            <a:ext uri="{FF2B5EF4-FFF2-40B4-BE49-F238E27FC236}">
              <a16:creationId xmlns:a16="http://schemas.microsoft.com/office/drawing/2014/main" id="{1D1CC597-88A9-31E6-EFAE-AD75C8C64FE2}"/>
            </a:ext>
          </a:extLst>
        </xdr:cNvPr>
        <xdr:cNvCxnSpPr/>
      </xdr:nvCxnSpPr>
      <xdr:spPr>
        <a:xfrm flipV="1">
          <a:off x="7129563" y="2667000"/>
          <a:ext cx="0" cy="3951862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94703</xdr:colOff>
      <xdr:row>24</xdr:row>
      <xdr:rowOff>149145</xdr:rowOff>
    </xdr:from>
    <xdr:to>
      <xdr:col>7</xdr:col>
      <xdr:colOff>397217</xdr:colOff>
      <xdr:row>27</xdr:row>
      <xdr:rowOff>20269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AD96FA59-5D43-4A8C-83B2-8327F0B69344}"/>
            </a:ext>
          </a:extLst>
        </xdr:cNvPr>
        <xdr:cNvGrpSpPr/>
      </xdr:nvGrpSpPr>
      <xdr:grpSpPr>
        <a:xfrm rot="10800000">
          <a:off x="4342853" y="6149895"/>
          <a:ext cx="1597914" cy="642649"/>
          <a:chOff x="16893774" y="4202789"/>
          <a:chExt cx="1599374" cy="640307"/>
        </a:xfrm>
      </xdr:grpSpPr>
      <xdr:cxnSp macro="">
        <xdr:nvCxnSpPr>
          <xdr:cNvPr id="3" name="Gerade Verbindung mit Pfeil 2">
            <a:extLst>
              <a:ext uri="{FF2B5EF4-FFF2-40B4-BE49-F238E27FC236}">
                <a16:creationId xmlns:a16="http://schemas.microsoft.com/office/drawing/2014/main" id="{062D88C2-547A-16E5-AE8A-4020E15E19AA}"/>
              </a:ext>
            </a:extLst>
          </xdr:cNvPr>
          <xdr:cNvCxnSpPr/>
        </xdr:nvCxnSpPr>
        <xdr:spPr>
          <a:xfrm rot="10800000" flipH="1">
            <a:off x="17108572" y="4843095"/>
            <a:ext cx="779377" cy="1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" name="Gruppieren 3">
            <a:extLst>
              <a:ext uri="{FF2B5EF4-FFF2-40B4-BE49-F238E27FC236}">
                <a16:creationId xmlns:a16="http://schemas.microsoft.com/office/drawing/2014/main" id="{68DD869C-5629-9D98-C864-78C05296DEC1}"/>
              </a:ext>
            </a:extLst>
          </xdr:cNvPr>
          <xdr:cNvGrpSpPr/>
        </xdr:nvGrpSpPr>
        <xdr:grpSpPr>
          <a:xfrm>
            <a:off x="16893774" y="4202789"/>
            <a:ext cx="1599374" cy="566157"/>
            <a:chOff x="14842572" y="4882776"/>
            <a:chExt cx="1596712" cy="564397"/>
          </a:xfrm>
        </xdr:grpSpPr>
        <xdr:sp macro="" textlink="">
          <xdr:nvSpPr>
            <xdr:cNvPr id="5" name="Rechteck 4">
              <a:extLst>
                <a:ext uri="{FF2B5EF4-FFF2-40B4-BE49-F238E27FC236}">
                  <a16:creationId xmlns:a16="http://schemas.microsoft.com/office/drawing/2014/main" id="{B4394666-4AB9-1D39-C012-5F07E7F0FB11}"/>
                </a:ext>
              </a:extLst>
            </xdr:cNvPr>
            <xdr:cNvSpPr/>
          </xdr:nvSpPr>
          <xdr:spPr>
            <a:xfrm>
              <a:off x="15853130" y="4882776"/>
              <a:ext cx="586154" cy="256395"/>
            </a:xfrm>
            <a:prstGeom prst="rect">
              <a:avLst/>
            </a:prstGeom>
            <a:noFill/>
            <a:ln w="28575">
              <a:solidFill>
                <a:srgbClr val="FF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cxnSp macro="">
          <xdr:nvCxnSpPr>
            <xdr:cNvPr id="6" name="Gerader Verbinder 5">
              <a:extLst>
                <a:ext uri="{FF2B5EF4-FFF2-40B4-BE49-F238E27FC236}">
                  <a16:creationId xmlns:a16="http://schemas.microsoft.com/office/drawing/2014/main" id="{EE371CDD-ED6A-93DF-F84D-0D9B32ED0E16}"/>
                </a:ext>
              </a:extLst>
            </xdr:cNvPr>
            <xdr:cNvCxnSpPr/>
          </xdr:nvCxnSpPr>
          <xdr:spPr>
            <a:xfrm rot="10800000">
              <a:off x="14842572" y="5009236"/>
              <a:ext cx="1002814" cy="0"/>
            </a:xfrm>
            <a:prstGeom prst="line">
              <a:avLst/>
            </a:prstGeom>
            <a:ln w="28575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Gerade Verbindung mit Pfeil 6">
              <a:extLst>
                <a:ext uri="{FF2B5EF4-FFF2-40B4-BE49-F238E27FC236}">
                  <a16:creationId xmlns:a16="http://schemas.microsoft.com/office/drawing/2014/main" id="{DA221172-BC0A-5DF7-E883-8B366268EF8C}"/>
                </a:ext>
              </a:extLst>
            </xdr:cNvPr>
            <xdr:cNvCxnSpPr/>
          </xdr:nvCxnSpPr>
          <xdr:spPr>
            <a:xfrm rot="10800000" flipV="1">
              <a:off x="14845216" y="4996468"/>
              <a:ext cx="0" cy="450705"/>
            </a:xfrm>
            <a:prstGeom prst="straightConnector1">
              <a:avLst/>
            </a:prstGeom>
            <a:ln w="28575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5</xdr:col>
      <xdr:colOff>660046</xdr:colOff>
      <xdr:row>20</xdr:row>
      <xdr:rowOff>161193</xdr:rowOff>
    </xdr:from>
    <xdr:to>
      <xdr:col>7</xdr:col>
      <xdr:colOff>102577</xdr:colOff>
      <xdr:row>20</xdr:row>
      <xdr:rowOff>170390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5ECD5B2B-7E70-4378-85D6-9C3032E33BF7}"/>
            </a:ext>
          </a:extLst>
        </xdr:cNvPr>
        <xdr:cNvCxnSpPr/>
      </xdr:nvCxnSpPr>
      <xdr:spPr>
        <a:xfrm flipH="1">
          <a:off x="4908196" y="5085618"/>
          <a:ext cx="737931" cy="9197"/>
        </a:xfrm>
        <a:prstGeom prst="straightConnector1">
          <a:avLst/>
        </a:prstGeom>
        <a:ln w="5715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624347</xdr:colOff>
      <xdr:row>19</xdr:row>
      <xdr:rowOff>146538</xdr:rowOff>
    </xdr:from>
    <xdr:to>
      <xdr:col>5</xdr:col>
      <xdr:colOff>630116</xdr:colOff>
      <xdr:row>20</xdr:row>
      <xdr:rowOff>146539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74C8AD7A-5D39-48B1-B034-08F28A3A6619}"/>
            </a:ext>
          </a:extLst>
        </xdr:cNvPr>
        <xdr:cNvCxnSpPr/>
      </xdr:nvCxnSpPr>
      <xdr:spPr>
        <a:xfrm flipV="1">
          <a:off x="4872497" y="4813788"/>
          <a:ext cx="5769" cy="257176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271096</xdr:colOff>
      <xdr:row>2</xdr:row>
      <xdr:rowOff>131887</xdr:rowOff>
    </xdr:from>
    <xdr:to>
      <xdr:col>15</xdr:col>
      <xdr:colOff>278423</xdr:colOff>
      <xdr:row>3</xdr:row>
      <xdr:rowOff>183175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B3DA693F-47D3-42DA-9F0F-58387CF1C874}"/>
            </a:ext>
          </a:extLst>
        </xdr:cNvPr>
        <xdr:cNvSpPr/>
      </xdr:nvSpPr>
      <xdr:spPr>
        <a:xfrm>
          <a:off x="11672521" y="560512"/>
          <a:ext cx="769327" cy="24178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94696</xdr:colOff>
      <xdr:row>22</xdr:row>
      <xdr:rowOff>145093</xdr:rowOff>
    </xdr:from>
    <xdr:to>
      <xdr:col>7</xdr:col>
      <xdr:colOff>394562</xdr:colOff>
      <xdr:row>25</xdr:row>
      <xdr:rowOff>16216</xdr:rowOff>
    </xdr:to>
    <xdr:grpSp>
      <xdr:nvGrpSpPr>
        <xdr:cNvPr id="11" name="Gruppieren 10">
          <a:extLst>
            <a:ext uri="{FF2B5EF4-FFF2-40B4-BE49-F238E27FC236}">
              <a16:creationId xmlns:a16="http://schemas.microsoft.com/office/drawing/2014/main" id="{E441E318-FDCB-4157-AE16-B017E758751B}"/>
            </a:ext>
          </a:extLst>
        </xdr:cNvPr>
        <xdr:cNvGrpSpPr/>
      </xdr:nvGrpSpPr>
      <xdr:grpSpPr>
        <a:xfrm rot="10800000">
          <a:off x="4342846" y="5631493"/>
          <a:ext cx="1595266" cy="642648"/>
          <a:chOff x="16896426" y="4202789"/>
          <a:chExt cx="1596726" cy="640307"/>
        </a:xfrm>
      </xdr:grpSpPr>
      <xdr:cxnSp macro="">
        <xdr:nvCxnSpPr>
          <xdr:cNvPr id="12" name="Gerade Verbindung mit Pfeil 11">
            <a:extLst>
              <a:ext uri="{FF2B5EF4-FFF2-40B4-BE49-F238E27FC236}">
                <a16:creationId xmlns:a16="http://schemas.microsoft.com/office/drawing/2014/main" id="{8D9E10C2-784C-5CA9-626A-797C5EDCE2D4}"/>
              </a:ext>
            </a:extLst>
          </xdr:cNvPr>
          <xdr:cNvCxnSpPr/>
        </xdr:nvCxnSpPr>
        <xdr:spPr>
          <a:xfrm rot="10800000" flipH="1">
            <a:off x="17108572" y="4843095"/>
            <a:ext cx="779377" cy="1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3" name="Gruppieren 12">
            <a:extLst>
              <a:ext uri="{FF2B5EF4-FFF2-40B4-BE49-F238E27FC236}">
                <a16:creationId xmlns:a16="http://schemas.microsoft.com/office/drawing/2014/main" id="{CBCAD6B5-DF96-0A8C-3D43-D79455C395F2}"/>
              </a:ext>
            </a:extLst>
          </xdr:cNvPr>
          <xdr:cNvGrpSpPr/>
        </xdr:nvGrpSpPr>
        <xdr:grpSpPr>
          <a:xfrm>
            <a:off x="16896426" y="4202789"/>
            <a:ext cx="1596726" cy="566157"/>
            <a:chOff x="14845216" y="4882776"/>
            <a:chExt cx="1594068" cy="564397"/>
          </a:xfrm>
        </xdr:grpSpPr>
        <xdr:sp macro="" textlink="">
          <xdr:nvSpPr>
            <xdr:cNvPr id="14" name="Rechteck 13">
              <a:extLst>
                <a:ext uri="{FF2B5EF4-FFF2-40B4-BE49-F238E27FC236}">
                  <a16:creationId xmlns:a16="http://schemas.microsoft.com/office/drawing/2014/main" id="{BF5D4C9E-C480-F40B-A134-CCF98474C4A2}"/>
                </a:ext>
              </a:extLst>
            </xdr:cNvPr>
            <xdr:cNvSpPr/>
          </xdr:nvSpPr>
          <xdr:spPr>
            <a:xfrm>
              <a:off x="15853130" y="4882776"/>
              <a:ext cx="586154" cy="256395"/>
            </a:xfrm>
            <a:prstGeom prst="rect">
              <a:avLst/>
            </a:prstGeom>
            <a:noFill/>
            <a:ln w="28575">
              <a:solidFill>
                <a:srgbClr val="FF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cxnSp macro="">
          <xdr:nvCxnSpPr>
            <xdr:cNvPr id="15" name="Gerade Verbindung mit Pfeil 14">
              <a:extLst>
                <a:ext uri="{FF2B5EF4-FFF2-40B4-BE49-F238E27FC236}">
                  <a16:creationId xmlns:a16="http://schemas.microsoft.com/office/drawing/2014/main" id="{F92E133C-155C-1A7D-CE22-64B9DDEDA7BA}"/>
                </a:ext>
              </a:extLst>
            </xdr:cNvPr>
            <xdr:cNvCxnSpPr/>
          </xdr:nvCxnSpPr>
          <xdr:spPr>
            <a:xfrm rot="10800000" flipV="1">
              <a:off x="14845216" y="5138588"/>
              <a:ext cx="1004817" cy="308585"/>
            </a:xfrm>
            <a:prstGeom prst="straightConnector1">
              <a:avLst/>
            </a:prstGeom>
            <a:ln w="28575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5</xdr:col>
      <xdr:colOff>94696</xdr:colOff>
      <xdr:row>20</xdr:row>
      <xdr:rowOff>210778</xdr:rowOff>
    </xdr:from>
    <xdr:to>
      <xdr:col>7</xdr:col>
      <xdr:colOff>394562</xdr:colOff>
      <xdr:row>23</xdr:row>
      <xdr:rowOff>8113</xdr:rowOff>
    </xdr:to>
    <xdr:grpSp>
      <xdr:nvGrpSpPr>
        <xdr:cNvPr id="16" name="Gruppieren 15">
          <a:extLst>
            <a:ext uri="{FF2B5EF4-FFF2-40B4-BE49-F238E27FC236}">
              <a16:creationId xmlns:a16="http://schemas.microsoft.com/office/drawing/2014/main" id="{B48AC04C-D6F7-4291-B5D8-2448247BF388}"/>
            </a:ext>
          </a:extLst>
        </xdr:cNvPr>
        <xdr:cNvGrpSpPr/>
      </xdr:nvGrpSpPr>
      <xdr:grpSpPr>
        <a:xfrm rot="10800000">
          <a:off x="4342846" y="5182828"/>
          <a:ext cx="1595266" cy="568860"/>
          <a:chOff x="14845216" y="4882776"/>
          <a:chExt cx="1594068" cy="564397"/>
        </a:xfrm>
      </xdr:grpSpPr>
      <xdr:sp macro="" textlink="">
        <xdr:nvSpPr>
          <xdr:cNvPr id="17" name="Rechteck 16">
            <a:extLst>
              <a:ext uri="{FF2B5EF4-FFF2-40B4-BE49-F238E27FC236}">
                <a16:creationId xmlns:a16="http://schemas.microsoft.com/office/drawing/2014/main" id="{2E79D561-B7FF-38E4-237D-B9FE6F9E4422}"/>
              </a:ext>
            </a:extLst>
          </xdr:cNvPr>
          <xdr:cNvSpPr/>
        </xdr:nvSpPr>
        <xdr:spPr>
          <a:xfrm>
            <a:off x="15853130" y="4882776"/>
            <a:ext cx="586154" cy="25639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cxnSp macro="">
        <xdr:nvCxnSpPr>
          <xdr:cNvPr id="18" name="Gerade Verbindung mit Pfeil 17">
            <a:extLst>
              <a:ext uri="{FF2B5EF4-FFF2-40B4-BE49-F238E27FC236}">
                <a16:creationId xmlns:a16="http://schemas.microsoft.com/office/drawing/2014/main" id="{EEFB3060-54B6-33B0-96BB-F81654E7ED9E}"/>
              </a:ext>
            </a:extLst>
          </xdr:cNvPr>
          <xdr:cNvCxnSpPr/>
        </xdr:nvCxnSpPr>
        <xdr:spPr>
          <a:xfrm rot="10800000" flipV="1">
            <a:off x="14845216" y="5138588"/>
            <a:ext cx="1004817" cy="308585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138187</xdr:colOff>
      <xdr:row>20</xdr:row>
      <xdr:rowOff>160734</xdr:rowOff>
    </xdr:from>
    <xdr:to>
      <xdr:col>9</xdr:col>
      <xdr:colOff>138187</xdr:colOff>
      <xdr:row>26</xdr:row>
      <xdr:rowOff>190500</xdr:rowOff>
    </xdr:to>
    <xdr:cxnSp macro="">
      <xdr:nvCxnSpPr>
        <xdr:cNvPr id="24" name="Gerade Verbindung mit Pfeil 23">
          <a:extLst>
            <a:ext uri="{FF2B5EF4-FFF2-40B4-BE49-F238E27FC236}">
              <a16:creationId xmlns:a16="http://schemas.microsoft.com/office/drawing/2014/main" id="{16BFA7AC-E66C-467A-B481-9DEB6DB447A2}"/>
            </a:ext>
          </a:extLst>
        </xdr:cNvPr>
        <xdr:cNvCxnSpPr/>
      </xdr:nvCxnSpPr>
      <xdr:spPr>
        <a:xfrm flipV="1">
          <a:off x="7210500" y="5066109"/>
          <a:ext cx="0" cy="1565672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138187</xdr:colOff>
      <xdr:row>4</xdr:row>
      <xdr:rowOff>89297</xdr:rowOff>
    </xdr:from>
    <xdr:to>
      <xdr:col>9</xdr:col>
      <xdr:colOff>138187</xdr:colOff>
      <xdr:row>18</xdr:row>
      <xdr:rowOff>130969</xdr:rowOff>
    </xdr:to>
    <xdr:cxnSp macro="">
      <xdr:nvCxnSpPr>
        <xdr:cNvPr id="26" name="Gerade Verbindung mit Pfeil 25">
          <a:extLst>
            <a:ext uri="{FF2B5EF4-FFF2-40B4-BE49-F238E27FC236}">
              <a16:creationId xmlns:a16="http://schemas.microsoft.com/office/drawing/2014/main" id="{836319D7-B4D6-6B1D-41C5-0113FB45FD67}"/>
            </a:ext>
          </a:extLst>
        </xdr:cNvPr>
        <xdr:cNvCxnSpPr/>
      </xdr:nvCxnSpPr>
      <xdr:spPr>
        <a:xfrm>
          <a:off x="7210500" y="898922"/>
          <a:ext cx="0" cy="3625453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660797</xdr:colOff>
      <xdr:row>18</xdr:row>
      <xdr:rowOff>250031</xdr:rowOff>
    </xdr:from>
    <xdr:to>
      <xdr:col>9</xdr:col>
      <xdr:colOff>130968</xdr:colOff>
      <xdr:row>20</xdr:row>
      <xdr:rowOff>29766</xdr:rowOff>
    </xdr:to>
    <xdr:sp macro="" textlink="">
      <xdr:nvSpPr>
        <xdr:cNvPr id="32" name="Rechteck 31">
          <a:extLst>
            <a:ext uri="{FF2B5EF4-FFF2-40B4-BE49-F238E27FC236}">
              <a16:creationId xmlns:a16="http://schemas.microsoft.com/office/drawing/2014/main" id="{414C6999-972C-CC94-815A-728F3D4D9487}"/>
            </a:ext>
          </a:extLst>
        </xdr:cNvPr>
        <xdr:cNvSpPr/>
      </xdr:nvSpPr>
      <xdr:spPr>
        <a:xfrm>
          <a:off x="660797" y="4643437"/>
          <a:ext cx="6542484" cy="291704"/>
        </a:xfrm>
        <a:prstGeom prst="rect">
          <a:avLst/>
        </a:prstGeom>
        <a:noFill/>
        <a:ln w="57150">
          <a:solidFill>
            <a:srgbClr val="C73F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94703</xdr:colOff>
      <xdr:row>24</xdr:row>
      <xdr:rowOff>149145</xdr:rowOff>
    </xdr:from>
    <xdr:to>
      <xdr:col>7</xdr:col>
      <xdr:colOff>397217</xdr:colOff>
      <xdr:row>27</xdr:row>
      <xdr:rowOff>20269</xdr:rowOff>
    </xdr:to>
    <xdr:grpSp>
      <xdr:nvGrpSpPr>
        <xdr:cNvPr id="19" name="Gruppieren 18">
          <a:extLst>
            <a:ext uri="{FF2B5EF4-FFF2-40B4-BE49-F238E27FC236}">
              <a16:creationId xmlns:a16="http://schemas.microsoft.com/office/drawing/2014/main" id="{2FDB40AA-69F7-4FA8-9906-28A3DAEAF2FB}"/>
            </a:ext>
          </a:extLst>
        </xdr:cNvPr>
        <xdr:cNvGrpSpPr/>
      </xdr:nvGrpSpPr>
      <xdr:grpSpPr>
        <a:xfrm rot="10800000">
          <a:off x="4342853" y="6149895"/>
          <a:ext cx="1597914" cy="642649"/>
          <a:chOff x="16893774" y="4202789"/>
          <a:chExt cx="1599374" cy="640307"/>
        </a:xfrm>
      </xdr:grpSpPr>
      <xdr:cxnSp macro="">
        <xdr:nvCxnSpPr>
          <xdr:cNvPr id="20" name="Gerade Verbindung mit Pfeil 19">
            <a:extLst>
              <a:ext uri="{FF2B5EF4-FFF2-40B4-BE49-F238E27FC236}">
                <a16:creationId xmlns:a16="http://schemas.microsoft.com/office/drawing/2014/main" id="{F998275E-8D6E-C549-15C2-F09ECE64AC99}"/>
              </a:ext>
            </a:extLst>
          </xdr:cNvPr>
          <xdr:cNvCxnSpPr/>
        </xdr:nvCxnSpPr>
        <xdr:spPr>
          <a:xfrm rot="10800000" flipH="1">
            <a:off x="17108572" y="4843095"/>
            <a:ext cx="779377" cy="1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21" name="Gruppieren 20">
            <a:extLst>
              <a:ext uri="{FF2B5EF4-FFF2-40B4-BE49-F238E27FC236}">
                <a16:creationId xmlns:a16="http://schemas.microsoft.com/office/drawing/2014/main" id="{D9EB7CC9-CEF0-52BD-C1A2-19F1807CF95B}"/>
              </a:ext>
            </a:extLst>
          </xdr:cNvPr>
          <xdr:cNvGrpSpPr/>
        </xdr:nvGrpSpPr>
        <xdr:grpSpPr>
          <a:xfrm>
            <a:off x="16893774" y="4202789"/>
            <a:ext cx="1599374" cy="566157"/>
            <a:chOff x="14842572" y="4882776"/>
            <a:chExt cx="1596712" cy="564397"/>
          </a:xfrm>
        </xdr:grpSpPr>
        <xdr:sp macro="" textlink="">
          <xdr:nvSpPr>
            <xdr:cNvPr id="22" name="Rechteck 21">
              <a:extLst>
                <a:ext uri="{FF2B5EF4-FFF2-40B4-BE49-F238E27FC236}">
                  <a16:creationId xmlns:a16="http://schemas.microsoft.com/office/drawing/2014/main" id="{852E7D83-EF90-CDF2-138A-6A5BA5D3A345}"/>
                </a:ext>
              </a:extLst>
            </xdr:cNvPr>
            <xdr:cNvSpPr/>
          </xdr:nvSpPr>
          <xdr:spPr>
            <a:xfrm>
              <a:off x="15853130" y="4882776"/>
              <a:ext cx="586154" cy="256395"/>
            </a:xfrm>
            <a:prstGeom prst="rect">
              <a:avLst/>
            </a:prstGeom>
            <a:noFill/>
            <a:ln w="28575">
              <a:solidFill>
                <a:srgbClr val="FF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cxnSp macro="">
          <xdr:nvCxnSpPr>
            <xdr:cNvPr id="23" name="Gerader Verbinder 22">
              <a:extLst>
                <a:ext uri="{FF2B5EF4-FFF2-40B4-BE49-F238E27FC236}">
                  <a16:creationId xmlns:a16="http://schemas.microsoft.com/office/drawing/2014/main" id="{D658CA20-743B-7150-CA67-6391CC2F1532}"/>
                </a:ext>
              </a:extLst>
            </xdr:cNvPr>
            <xdr:cNvCxnSpPr/>
          </xdr:nvCxnSpPr>
          <xdr:spPr>
            <a:xfrm rot="10800000">
              <a:off x="14842572" y="5009236"/>
              <a:ext cx="1002814" cy="0"/>
            </a:xfrm>
            <a:prstGeom prst="line">
              <a:avLst/>
            </a:prstGeom>
            <a:ln w="28575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" name="Gerade Verbindung mit Pfeil 24">
              <a:extLst>
                <a:ext uri="{FF2B5EF4-FFF2-40B4-BE49-F238E27FC236}">
                  <a16:creationId xmlns:a16="http://schemas.microsoft.com/office/drawing/2014/main" id="{A157FE1E-073A-04CB-AC64-67D97B2030A5}"/>
                </a:ext>
              </a:extLst>
            </xdr:cNvPr>
            <xdr:cNvCxnSpPr/>
          </xdr:nvCxnSpPr>
          <xdr:spPr>
            <a:xfrm rot="10800000" flipV="1">
              <a:off x="14845216" y="4996468"/>
              <a:ext cx="0" cy="450705"/>
            </a:xfrm>
            <a:prstGeom prst="straightConnector1">
              <a:avLst/>
            </a:prstGeom>
            <a:ln w="28575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5</xdr:col>
      <xdr:colOff>660046</xdr:colOff>
      <xdr:row>20</xdr:row>
      <xdr:rowOff>161193</xdr:rowOff>
    </xdr:from>
    <xdr:to>
      <xdr:col>7</xdr:col>
      <xdr:colOff>102577</xdr:colOff>
      <xdr:row>20</xdr:row>
      <xdr:rowOff>170390</xdr:rowOff>
    </xdr:to>
    <xdr:cxnSp macro="">
      <xdr:nvCxnSpPr>
        <xdr:cNvPr id="27" name="Gerade Verbindung mit Pfeil 26">
          <a:extLst>
            <a:ext uri="{FF2B5EF4-FFF2-40B4-BE49-F238E27FC236}">
              <a16:creationId xmlns:a16="http://schemas.microsoft.com/office/drawing/2014/main" id="{C3D26739-43F9-46AB-B3E4-DE9A8460A3FF}"/>
            </a:ext>
          </a:extLst>
        </xdr:cNvPr>
        <xdr:cNvCxnSpPr/>
      </xdr:nvCxnSpPr>
      <xdr:spPr>
        <a:xfrm flipH="1">
          <a:off x="4908196" y="5133243"/>
          <a:ext cx="737931" cy="9197"/>
        </a:xfrm>
        <a:prstGeom prst="straightConnector1">
          <a:avLst/>
        </a:prstGeom>
        <a:ln w="5715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624347</xdr:colOff>
      <xdr:row>19</xdr:row>
      <xdr:rowOff>146538</xdr:rowOff>
    </xdr:from>
    <xdr:to>
      <xdr:col>5</xdr:col>
      <xdr:colOff>630116</xdr:colOff>
      <xdr:row>20</xdr:row>
      <xdr:rowOff>146539</xdr:rowOff>
    </xdr:to>
    <xdr:cxnSp macro="">
      <xdr:nvCxnSpPr>
        <xdr:cNvPr id="28" name="Gerade Verbindung mit Pfeil 27">
          <a:extLst>
            <a:ext uri="{FF2B5EF4-FFF2-40B4-BE49-F238E27FC236}">
              <a16:creationId xmlns:a16="http://schemas.microsoft.com/office/drawing/2014/main" id="{317478D7-D4D2-42EA-85B9-89199E6653A2}"/>
            </a:ext>
          </a:extLst>
        </xdr:cNvPr>
        <xdr:cNvCxnSpPr/>
      </xdr:nvCxnSpPr>
      <xdr:spPr>
        <a:xfrm flipV="1">
          <a:off x="4872497" y="4861413"/>
          <a:ext cx="5769" cy="257176"/>
        </a:xfrm>
        <a:prstGeom prst="straightConnector1">
          <a:avLst/>
        </a:prstGeom>
        <a:ln w="381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94696</xdr:colOff>
      <xdr:row>22</xdr:row>
      <xdr:rowOff>145093</xdr:rowOff>
    </xdr:from>
    <xdr:to>
      <xdr:col>7</xdr:col>
      <xdr:colOff>394562</xdr:colOff>
      <xdr:row>25</xdr:row>
      <xdr:rowOff>16216</xdr:rowOff>
    </xdr:to>
    <xdr:grpSp>
      <xdr:nvGrpSpPr>
        <xdr:cNvPr id="29" name="Gruppieren 28">
          <a:extLst>
            <a:ext uri="{FF2B5EF4-FFF2-40B4-BE49-F238E27FC236}">
              <a16:creationId xmlns:a16="http://schemas.microsoft.com/office/drawing/2014/main" id="{116CD8D5-4010-45EE-AA01-8917D421F34B}"/>
            </a:ext>
          </a:extLst>
        </xdr:cNvPr>
        <xdr:cNvGrpSpPr/>
      </xdr:nvGrpSpPr>
      <xdr:grpSpPr>
        <a:xfrm rot="10800000">
          <a:off x="4342846" y="5631493"/>
          <a:ext cx="1595266" cy="642648"/>
          <a:chOff x="16896426" y="4202789"/>
          <a:chExt cx="1596726" cy="640307"/>
        </a:xfrm>
      </xdr:grpSpPr>
      <xdr:cxnSp macro="">
        <xdr:nvCxnSpPr>
          <xdr:cNvPr id="30" name="Gerade Verbindung mit Pfeil 29">
            <a:extLst>
              <a:ext uri="{FF2B5EF4-FFF2-40B4-BE49-F238E27FC236}">
                <a16:creationId xmlns:a16="http://schemas.microsoft.com/office/drawing/2014/main" id="{E5B6B230-996A-9E0C-B9EC-457920697B47}"/>
              </a:ext>
            </a:extLst>
          </xdr:cNvPr>
          <xdr:cNvCxnSpPr/>
        </xdr:nvCxnSpPr>
        <xdr:spPr>
          <a:xfrm rot="10800000" flipH="1">
            <a:off x="17108572" y="4843095"/>
            <a:ext cx="779377" cy="1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31" name="Gruppieren 30">
            <a:extLst>
              <a:ext uri="{FF2B5EF4-FFF2-40B4-BE49-F238E27FC236}">
                <a16:creationId xmlns:a16="http://schemas.microsoft.com/office/drawing/2014/main" id="{C48EF69D-C101-0CE1-2C7D-4CC8C4A99A41}"/>
              </a:ext>
            </a:extLst>
          </xdr:cNvPr>
          <xdr:cNvGrpSpPr/>
        </xdr:nvGrpSpPr>
        <xdr:grpSpPr>
          <a:xfrm>
            <a:off x="16896426" y="4202789"/>
            <a:ext cx="1596726" cy="566157"/>
            <a:chOff x="14845216" y="4882776"/>
            <a:chExt cx="1594068" cy="564397"/>
          </a:xfrm>
        </xdr:grpSpPr>
        <xdr:sp macro="" textlink="">
          <xdr:nvSpPr>
            <xdr:cNvPr id="33" name="Rechteck 32">
              <a:extLst>
                <a:ext uri="{FF2B5EF4-FFF2-40B4-BE49-F238E27FC236}">
                  <a16:creationId xmlns:a16="http://schemas.microsoft.com/office/drawing/2014/main" id="{64452009-CC71-C5AA-D929-8BCAD9770447}"/>
                </a:ext>
              </a:extLst>
            </xdr:cNvPr>
            <xdr:cNvSpPr/>
          </xdr:nvSpPr>
          <xdr:spPr>
            <a:xfrm>
              <a:off x="15853130" y="4882776"/>
              <a:ext cx="586154" cy="256395"/>
            </a:xfrm>
            <a:prstGeom prst="rect">
              <a:avLst/>
            </a:prstGeom>
            <a:noFill/>
            <a:ln w="28575">
              <a:solidFill>
                <a:srgbClr val="FF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cxnSp macro="">
          <xdr:nvCxnSpPr>
            <xdr:cNvPr id="34" name="Gerade Verbindung mit Pfeil 33">
              <a:extLst>
                <a:ext uri="{FF2B5EF4-FFF2-40B4-BE49-F238E27FC236}">
                  <a16:creationId xmlns:a16="http://schemas.microsoft.com/office/drawing/2014/main" id="{E8196287-89AD-56EF-0E53-CB39B640829B}"/>
                </a:ext>
              </a:extLst>
            </xdr:cNvPr>
            <xdr:cNvCxnSpPr/>
          </xdr:nvCxnSpPr>
          <xdr:spPr>
            <a:xfrm rot="10800000" flipV="1">
              <a:off x="14845216" y="5138588"/>
              <a:ext cx="1004817" cy="308585"/>
            </a:xfrm>
            <a:prstGeom prst="straightConnector1">
              <a:avLst/>
            </a:prstGeom>
            <a:ln w="28575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5</xdr:col>
      <xdr:colOff>94696</xdr:colOff>
      <xdr:row>20</xdr:row>
      <xdr:rowOff>210778</xdr:rowOff>
    </xdr:from>
    <xdr:to>
      <xdr:col>7</xdr:col>
      <xdr:colOff>394562</xdr:colOff>
      <xdr:row>23</xdr:row>
      <xdr:rowOff>8113</xdr:rowOff>
    </xdr:to>
    <xdr:grpSp>
      <xdr:nvGrpSpPr>
        <xdr:cNvPr id="35" name="Gruppieren 34">
          <a:extLst>
            <a:ext uri="{FF2B5EF4-FFF2-40B4-BE49-F238E27FC236}">
              <a16:creationId xmlns:a16="http://schemas.microsoft.com/office/drawing/2014/main" id="{3991E6B2-C4B1-4A8A-90FF-651E799CB3C8}"/>
            </a:ext>
          </a:extLst>
        </xdr:cNvPr>
        <xdr:cNvGrpSpPr/>
      </xdr:nvGrpSpPr>
      <xdr:grpSpPr>
        <a:xfrm rot="10800000">
          <a:off x="4342846" y="5182828"/>
          <a:ext cx="1595266" cy="568860"/>
          <a:chOff x="14845216" y="4882776"/>
          <a:chExt cx="1594068" cy="564397"/>
        </a:xfrm>
      </xdr:grpSpPr>
      <xdr:sp macro="" textlink="">
        <xdr:nvSpPr>
          <xdr:cNvPr id="36" name="Rechteck 35">
            <a:extLst>
              <a:ext uri="{FF2B5EF4-FFF2-40B4-BE49-F238E27FC236}">
                <a16:creationId xmlns:a16="http://schemas.microsoft.com/office/drawing/2014/main" id="{784A8EB5-EA7B-2624-E0FC-070C6E157F00}"/>
              </a:ext>
            </a:extLst>
          </xdr:cNvPr>
          <xdr:cNvSpPr/>
        </xdr:nvSpPr>
        <xdr:spPr>
          <a:xfrm>
            <a:off x="15853130" y="4882776"/>
            <a:ext cx="586154" cy="25639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cxnSp macro="">
        <xdr:nvCxnSpPr>
          <xdr:cNvPr id="37" name="Gerade Verbindung mit Pfeil 36">
            <a:extLst>
              <a:ext uri="{FF2B5EF4-FFF2-40B4-BE49-F238E27FC236}">
                <a16:creationId xmlns:a16="http://schemas.microsoft.com/office/drawing/2014/main" id="{25E4CDC0-909F-0F7B-C9DD-7E7FE6F65FB5}"/>
              </a:ext>
            </a:extLst>
          </xdr:cNvPr>
          <xdr:cNvCxnSpPr/>
        </xdr:nvCxnSpPr>
        <xdr:spPr>
          <a:xfrm rot="10800000" flipV="1">
            <a:off x="14845216" y="5138588"/>
            <a:ext cx="1004817" cy="308585"/>
          </a:xfrm>
          <a:prstGeom prst="straightConnector1">
            <a:avLst/>
          </a:prstGeom>
          <a:ln w="28575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50772-8AA7-47F7-BF9F-11DDDEA93E17}">
  <sheetPr codeName="Tabelle1"/>
  <dimension ref="A1:M29"/>
  <sheetViews>
    <sheetView tabSelected="1" zoomScale="130" zoomScaleNormal="130" workbookViewId="0">
      <selection activeCell="H15" sqref="H15"/>
    </sheetView>
  </sheetViews>
  <sheetFormatPr defaultColWidth="11.42578125" defaultRowHeight="15"/>
  <cols>
    <col min="5" max="5" width="18.7109375" customWidth="1"/>
    <col min="8" max="8" width="17.7109375" bestFit="1" customWidth="1"/>
    <col min="20" max="20" width="8" customWidth="1"/>
  </cols>
  <sheetData>
    <row r="1" spans="1:13" ht="18.75">
      <c r="A1" s="55" t="s">
        <v>0</v>
      </c>
    </row>
    <row r="3" spans="1:13">
      <c r="B3" s="11" t="s">
        <v>1</v>
      </c>
      <c r="J3" s="11" t="s">
        <v>2</v>
      </c>
    </row>
    <row r="4" spans="1:13">
      <c r="B4" s="11"/>
      <c r="J4" s="11"/>
    </row>
    <row r="5" spans="1:13" ht="18.75">
      <c r="F5" s="90" t="s">
        <v>3</v>
      </c>
      <c r="G5" s="90"/>
    </row>
    <row r="6" spans="1:13" ht="20.25" customHeight="1">
      <c r="C6" t="s">
        <v>4</v>
      </c>
      <c r="F6" s="13"/>
      <c r="G6" s="14"/>
      <c r="H6" s="9">
        <v>47.12</v>
      </c>
      <c r="J6" t="s">
        <v>4</v>
      </c>
      <c r="M6" s="6">
        <v>47.12</v>
      </c>
    </row>
    <row r="7" spans="1:13" ht="20.25" customHeight="1">
      <c r="B7" s="4" t="s">
        <v>5</v>
      </c>
      <c r="C7" s="83" t="s">
        <v>6</v>
      </c>
      <c r="D7" s="83"/>
      <c r="E7" s="83"/>
      <c r="F7" s="15">
        <v>7</v>
      </c>
      <c r="G7" s="16"/>
      <c r="H7" s="6">
        <f>F7*H6</f>
        <v>329.84</v>
      </c>
      <c r="J7" t="s">
        <v>6</v>
      </c>
      <c r="M7" s="44">
        <v>7.0000000000000007E-2</v>
      </c>
    </row>
    <row r="8" spans="1:13" ht="20.25" customHeight="1">
      <c r="B8" s="53" t="s">
        <v>7</v>
      </c>
      <c r="C8" s="91" t="s">
        <v>8</v>
      </c>
      <c r="D8" s="91"/>
      <c r="E8" s="91"/>
      <c r="F8" s="54"/>
      <c r="G8" s="54"/>
      <c r="H8" s="6">
        <f>SUM(H6:H7)</f>
        <v>376.96</v>
      </c>
      <c r="J8" t="s">
        <v>9</v>
      </c>
      <c r="M8" s="6">
        <v>15</v>
      </c>
    </row>
    <row r="9" spans="1:13" ht="20.25" customHeight="1">
      <c r="B9" s="3"/>
      <c r="C9" s="83" t="s">
        <v>9</v>
      </c>
      <c r="D9" s="83"/>
      <c r="E9" s="83"/>
      <c r="F9" s="17"/>
      <c r="G9" s="17"/>
      <c r="H9" s="9">
        <v>15</v>
      </c>
      <c r="J9" t="s">
        <v>10</v>
      </c>
      <c r="M9" s="44">
        <v>1</v>
      </c>
    </row>
    <row r="10" spans="1:13" ht="20.25" customHeight="1">
      <c r="B10" s="4" t="s">
        <v>5</v>
      </c>
      <c r="C10" s="83" t="s">
        <v>10</v>
      </c>
      <c r="D10" s="83"/>
      <c r="E10" s="83"/>
      <c r="F10" s="15">
        <v>100</v>
      </c>
      <c r="G10" s="16"/>
      <c r="H10" s="6">
        <f>F10*H9</f>
        <v>1500</v>
      </c>
      <c r="J10" t="s">
        <v>11</v>
      </c>
      <c r="M10" s="6">
        <v>2.5</v>
      </c>
    </row>
    <row r="11" spans="1:13" ht="20.25" customHeight="1">
      <c r="B11" s="4" t="s">
        <v>5</v>
      </c>
      <c r="C11" s="83" t="s">
        <v>11</v>
      </c>
      <c r="D11" s="83"/>
      <c r="E11" s="83"/>
      <c r="F11" s="17"/>
      <c r="G11" s="17"/>
      <c r="H11" s="9">
        <v>2.5</v>
      </c>
      <c r="J11" t="s">
        <v>12</v>
      </c>
      <c r="M11" s="6">
        <v>1</v>
      </c>
    </row>
    <row r="12" spans="1:13" ht="20.25" customHeight="1">
      <c r="B12" s="46" t="s">
        <v>7</v>
      </c>
      <c r="C12" s="88" t="s">
        <v>13</v>
      </c>
      <c r="D12" s="88"/>
      <c r="E12" s="88"/>
      <c r="F12" s="47"/>
      <c r="G12" s="47"/>
      <c r="H12" s="48">
        <f>SUM(H9:H11)</f>
        <v>1517.5</v>
      </c>
      <c r="J12" t="s">
        <v>14</v>
      </c>
      <c r="M12" s="6">
        <v>4</v>
      </c>
    </row>
    <row r="13" spans="1:13" ht="20.25" customHeight="1" thickBot="1">
      <c r="B13" s="49" t="s">
        <v>7</v>
      </c>
      <c r="C13" s="89" t="s">
        <v>15</v>
      </c>
      <c r="D13" s="89"/>
      <c r="E13" s="89"/>
      <c r="F13" s="50"/>
      <c r="G13" s="51"/>
      <c r="H13" s="52">
        <f>SUM(H8,H12)</f>
        <v>1894.46</v>
      </c>
      <c r="J13" t="s">
        <v>16</v>
      </c>
      <c r="M13" s="44">
        <v>0.03</v>
      </c>
    </row>
    <row r="14" spans="1:13" ht="20.25" customHeight="1" thickTop="1">
      <c r="B14" s="7" t="s">
        <v>5</v>
      </c>
      <c r="C14" s="1" t="s">
        <v>12</v>
      </c>
      <c r="D14" s="5"/>
      <c r="E14" s="5"/>
      <c r="F14" s="18"/>
      <c r="G14" s="18"/>
      <c r="H14" s="9">
        <v>1</v>
      </c>
      <c r="J14" t="s">
        <v>17</v>
      </c>
      <c r="M14" s="44">
        <v>0.08</v>
      </c>
    </row>
    <row r="15" spans="1:13" ht="20.25" customHeight="1">
      <c r="B15" s="7" t="s">
        <v>18</v>
      </c>
      <c r="C15" s="1" t="s">
        <v>14</v>
      </c>
      <c r="D15" s="5"/>
      <c r="E15" s="5"/>
      <c r="F15" s="18"/>
      <c r="G15" s="18"/>
      <c r="H15" s="9">
        <v>4</v>
      </c>
      <c r="J15" t="s">
        <v>19</v>
      </c>
      <c r="M15" s="6">
        <v>2</v>
      </c>
    </row>
    <row r="16" spans="1:13" ht="20.25" customHeight="1" thickBot="1">
      <c r="B16" s="40" t="s">
        <v>7</v>
      </c>
      <c r="C16" s="41" t="s">
        <v>20</v>
      </c>
      <c r="D16" s="41"/>
      <c r="E16" s="41"/>
      <c r="F16" s="42"/>
      <c r="G16" s="45"/>
      <c r="H16" s="33">
        <f>H13+H14-H15</f>
        <v>1891.46</v>
      </c>
      <c r="J16" t="s">
        <v>21</v>
      </c>
      <c r="M16" s="44">
        <v>0.21</v>
      </c>
    </row>
    <row r="17" spans="2:13" ht="20.25" customHeight="1" thickTop="1">
      <c r="B17" s="4" t="s">
        <v>5</v>
      </c>
      <c r="C17" s="83" t="s">
        <v>16</v>
      </c>
      <c r="D17" s="83"/>
      <c r="E17" s="83"/>
      <c r="F17" s="15">
        <v>3</v>
      </c>
      <c r="G17" s="16"/>
      <c r="H17" s="6">
        <f>F17*H16</f>
        <v>5674.38</v>
      </c>
      <c r="J17" t="s">
        <v>22</v>
      </c>
      <c r="M17" s="44">
        <v>0.04</v>
      </c>
    </row>
    <row r="18" spans="2:13" ht="20.25" customHeight="1">
      <c r="B18" s="4" t="s">
        <v>5</v>
      </c>
      <c r="C18" s="83" t="s">
        <v>17</v>
      </c>
      <c r="D18" s="83"/>
      <c r="E18" s="83"/>
      <c r="F18" s="15">
        <v>8</v>
      </c>
      <c r="G18" s="16"/>
      <c r="H18" s="6">
        <f>F18*H16</f>
        <v>15131.68</v>
      </c>
      <c r="J18" t="s">
        <v>23</v>
      </c>
      <c r="M18" s="44">
        <v>0.05</v>
      </c>
    </row>
    <row r="19" spans="2:13" ht="20.25" customHeight="1">
      <c r="B19" s="4" t="s">
        <v>5</v>
      </c>
      <c r="C19" s="83" t="s">
        <v>19</v>
      </c>
      <c r="D19" s="83"/>
      <c r="E19" s="83"/>
      <c r="F19" s="17"/>
      <c r="G19" s="17"/>
      <c r="H19" s="9">
        <v>2</v>
      </c>
      <c r="J19" t="s">
        <v>24</v>
      </c>
      <c r="M19" s="44">
        <v>7.0000000000000007E-2</v>
      </c>
    </row>
    <row r="20" spans="2:13" ht="20.25" customHeight="1" thickBot="1">
      <c r="B20" s="40" t="s">
        <v>7</v>
      </c>
      <c r="C20" s="85" t="s">
        <v>25</v>
      </c>
      <c r="D20" s="85"/>
      <c r="E20" s="85"/>
      <c r="F20" s="42"/>
      <c r="G20" s="43"/>
      <c r="H20" s="33">
        <f>SUM(H16:H19)</f>
        <v>22699.52</v>
      </c>
    </row>
    <row r="21" spans="2:13" ht="20.25" customHeight="1" thickTop="1">
      <c r="B21" s="4" t="s">
        <v>5</v>
      </c>
      <c r="C21" s="83" t="s">
        <v>21</v>
      </c>
      <c r="D21" s="83"/>
      <c r="E21" s="83"/>
      <c r="F21" s="15">
        <v>21</v>
      </c>
      <c r="G21" s="19"/>
      <c r="H21" s="6">
        <f>F21*H20</f>
        <v>476689.91999999998</v>
      </c>
    </row>
    <row r="22" spans="2:13" ht="20.25" customHeight="1" thickBot="1">
      <c r="B22" s="37" t="s">
        <v>7</v>
      </c>
      <c r="C22" s="86" t="s">
        <v>26</v>
      </c>
      <c r="D22" s="86"/>
      <c r="E22" s="86"/>
      <c r="F22" s="38"/>
      <c r="G22" s="39">
        <f>100-F23</f>
        <v>96</v>
      </c>
      <c r="H22" s="33">
        <f>SUM(H20:H21)</f>
        <v>499389.44</v>
      </c>
    </row>
    <row r="23" spans="2:13" ht="20.25" customHeight="1" thickTop="1">
      <c r="B23" s="4" t="s">
        <v>5</v>
      </c>
      <c r="C23" s="83" t="s">
        <v>22</v>
      </c>
      <c r="D23" s="83"/>
      <c r="E23" s="83"/>
      <c r="F23" s="15">
        <v>4</v>
      </c>
      <c r="G23" s="16"/>
      <c r="H23" s="6">
        <f>F23*H22/G22</f>
        <v>20807.893333333333</v>
      </c>
    </row>
    <row r="24" spans="2:13" ht="20.25" customHeight="1" thickBot="1">
      <c r="B24" s="34" t="s">
        <v>7</v>
      </c>
      <c r="C24" s="87" t="s">
        <v>27</v>
      </c>
      <c r="D24" s="87"/>
      <c r="E24" s="87"/>
      <c r="F24" s="35"/>
      <c r="G24" s="36">
        <f>100-F25</f>
        <v>95</v>
      </c>
      <c r="H24" s="33">
        <f>SUM(H22:H23)</f>
        <v>520197.33333333331</v>
      </c>
    </row>
    <row r="25" spans="2:13" ht="20.25" customHeight="1" thickTop="1">
      <c r="B25" s="4" t="s">
        <v>5</v>
      </c>
      <c r="C25" s="83" t="s">
        <v>28</v>
      </c>
      <c r="D25" s="83"/>
      <c r="E25" s="83"/>
      <c r="F25" s="15">
        <v>5</v>
      </c>
      <c r="G25" s="19"/>
      <c r="H25" s="6">
        <f>F25*H24/G24</f>
        <v>27378.807017543859</v>
      </c>
    </row>
    <row r="26" spans="2:13" ht="20.25" customHeight="1" thickBot="1">
      <c r="B26" s="29" t="s">
        <v>7</v>
      </c>
      <c r="C26" s="30" t="s">
        <v>29</v>
      </c>
      <c r="D26" s="30"/>
      <c r="E26" s="30"/>
      <c r="F26" s="31"/>
      <c r="G26" s="32">
        <f>100-F27</f>
        <v>93</v>
      </c>
      <c r="H26" s="33">
        <f>SUM(H24:H25)</f>
        <v>547576.14035087719</v>
      </c>
    </row>
    <row r="27" spans="2:13" ht="20.25" customHeight="1" thickTop="1">
      <c r="B27" s="4" t="s">
        <v>5</v>
      </c>
      <c r="C27" s="83" t="s">
        <v>24</v>
      </c>
      <c r="D27" s="83"/>
      <c r="E27" s="83"/>
      <c r="F27" s="15">
        <v>7</v>
      </c>
      <c r="G27" s="19"/>
      <c r="H27" s="6">
        <f>F27*H26/G26</f>
        <v>41215.408413506884</v>
      </c>
    </row>
    <row r="28" spans="2:13" ht="20.25" customHeight="1" thickBot="1">
      <c r="B28" s="25" t="s">
        <v>7</v>
      </c>
      <c r="C28" s="84" t="s">
        <v>30</v>
      </c>
      <c r="D28" s="84"/>
      <c r="E28" s="84"/>
      <c r="F28" s="26"/>
      <c r="G28" s="27"/>
      <c r="H28" s="28">
        <f>SUM(H26:H27)</f>
        <v>588791.54876438412</v>
      </c>
    </row>
    <row r="29" spans="2:13" ht="15.75" thickTop="1"/>
  </sheetData>
  <sheetProtection algorithmName="SHA-512" hashValue="Iv+CgQT3fUOZSHsDBa0n7XpDz7KLtFC6c2ApJH60reDHergaFe9OdBd5Zk2yVkg2b5/khFK2A/K1MBOie5fQ9Q==" saltValue="vzke619jvprVRoB7TNDegA==" spinCount="100000" sheet="1" objects="1" scenarios="1" selectLockedCells="1"/>
  <mergeCells count="19">
    <mergeCell ref="F5:G5"/>
    <mergeCell ref="C7:E7"/>
    <mergeCell ref="C8:E8"/>
    <mergeCell ref="C9:E9"/>
    <mergeCell ref="C10:E10"/>
    <mergeCell ref="C11:E11"/>
    <mergeCell ref="C12:E12"/>
    <mergeCell ref="C13:E13"/>
    <mergeCell ref="C17:E17"/>
    <mergeCell ref="C18:E18"/>
    <mergeCell ref="C19:E19"/>
    <mergeCell ref="C25:E25"/>
    <mergeCell ref="C27:E27"/>
    <mergeCell ref="C28:E28"/>
    <mergeCell ref="C20:E20"/>
    <mergeCell ref="C21:E21"/>
    <mergeCell ref="C22:E22"/>
    <mergeCell ref="C23:E23"/>
    <mergeCell ref="C24:E24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53945-C67A-4848-B142-D11F569F99C4}">
  <sheetPr codeName="Tabelle2"/>
  <dimension ref="A1:N27"/>
  <sheetViews>
    <sheetView zoomScale="130" zoomScaleNormal="130" workbookViewId="0">
      <selection sqref="A1:XFD1048576"/>
    </sheetView>
  </sheetViews>
  <sheetFormatPr defaultColWidth="11.42578125" defaultRowHeight="15"/>
  <cols>
    <col min="5" max="5" width="18" customWidth="1"/>
    <col min="6" max="7" width="7.7109375" customWidth="1"/>
    <col min="8" max="8" width="13.7109375" bestFit="1" customWidth="1"/>
    <col min="10" max="10" width="5.7109375" customWidth="1"/>
    <col min="11" max="11" width="20.85546875" customWidth="1"/>
    <col min="12" max="12" width="10.28515625" customWidth="1"/>
  </cols>
  <sheetData>
    <row r="1" spans="1:12" ht="18.75">
      <c r="A1" s="55" t="s">
        <v>0</v>
      </c>
    </row>
    <row r="4" spans="1:12" ht="18.75">
      <c r="F4" s="90" t="s">
        <v>3</v>
      </c>
      <c r="G4" s="90"/>
      <c r="K4" s="11"/>
    </row>
    <row r="5" spans="1:12" ht="20.25" customHeight="1">
      <c r="C5" s="83" t="s">
        <v>4</v>
      </c>
      <c r="D5" s="83"/>
      <c r="E5" s="83"/>
      <c r="F5" s="13"/>
      <c r="G5" s="14"/>
      <c r="H5" s="56">
        <v>47.12</v>
      </c>
    </row>
    <row r="6" spans="1:12" ht="20.25" customHeight="1">
      <c r="B6" s="4" t="s">
        <v>5</v>
      </c>
      <c r="C6" s="83" t="s">
        <v>6</v>
      </c>
      <c r="D6" s="83"/>
      <c r="E6" s="83"/>
      <c r="F6" s="57">
        <v>7</v>
      </c>
      <c r="G6" s="20"/>
      <c r="H6" s="6">
        <f>F6*H5/100</f>
        <v>3.2983999999999996</v>
      </c>
    </row>
    <row r="7" spans="1:12" ht="20.25" customHeight="1">
      <c r="B7" s="7" t="s">
        <v>7</v>
      </c>
      <c r="C7" s="92" t="s">
        <v>8</v>
      </c>
      <c r="D7" s="92"/>
      <c r="E7" s="92"/>
      <c r="F7" s="17"/>
      <c r="G7" s="17"/>
      <c r="H7" s="6">
        <f>SUM(H5:H6)</f>
        <v>50.418399999999998</v>
      </c>
    </row>
    <row r="8" spans="1:12" ht="20.25" customHeight="1">
      <c r="B8" s="3"/>
      <c r="C8" s="83" t="s">
        <v>9</v>
      </c>
      <c r="D8" s="83"/>
      <c r="E8" s="83"/>
      <c r="F8" s="17"/>
      <c r="G8" s="17"/>
      <c r="H8" s="56">
        <v>15</v>
      </c>
    </row>
    <row r="9" spans="1:12" ht="20.25" customHeight="1">
      <c r="B9" s="4" t="s">
        <v>5</v>
      </c>
      <c r="C9" s="83" t="s">
        <v>10</v>
      </c>
      <c r="D9" s="83"/>
      <c r="E9" s="83"/>
      <c r="F9" s="57">
        <v>100</v>
      </c>
      <c r="G9" s="20"/>
      <c r="H9" s="6">
        <f>F9*H8/100</f>
        <v>15</v>
      </c>
      <c r="K9" s="58"/>
    </row>
    <row r="10" spans="1:12" ht="20.25" customHeight="1">
      <c r="B10" s="4" t="s">
        <v>5</v>
      </c>
      <c r="C10" s="83" t="s">
        <v>11</v>
      </c>
      <c r="D10" s="83"/>
      <c r="E10" s="83"/>
      <c r="F10" s="17"/>
      <c r="G10" s="17"/>
      <c r="H10" s="56">
        <v>2.5</v>
      </c>
      <c r="L10" s="2"/>
    </row>
    <row r="11" spans="1:12" ht="20.25" customHeight="1">
      <c r="B11" s="7" t="s">
        <v>7</v>
      </c>
      <c r="C11" s="92" t="s">
        <v>13</v>
      </c>
      <c r="D11" s="92"/>
      <c r="E11" s="92"/>
      <c r="F11" s="17"/>
      <c r="G11" s="17"/>
      <c r="H11" s="6">
        <f>SUM(H8:H10)</f>
        <v>32.5</v>
      </c>
      <c r="L11" s="2"/>
    </row>
    <row r="12" spans="1:12" ht="20.25" customHeight="1">
      <c r="B12" s="7" t="s">
        <v>7</v>
      </c>
      <c r="C12" s="92" t="s">
        <v>15</v>
      </c>
      <c r="D12" s="92"/>
      <c r="E12" s="92"/>
      <c r="F12" s="17"/>
      <c r="G12" s="18"/>
      <c r="H12" s="6">
        <f>SUM(H7,H11)</f>
        <v>82.918399999999991</v>
      </c>
      <c r="L12" s="2"/>
    </row>
    <row r="13" spans="1:12" ht="20.25" customHeight="1">
      <c r="B13" s="7" t="s">
        <v>5</v>
      </c>
      <c r="C13" s="1" t="s">
        <v>12</v>
      </c>
      <c r="D13" s="5"/>
      <c r="E13" s="5"/>
      <c r="F13" s="18"/>
      <c r="G13" s="18"/>
      <c r="H13" s="56">
        <v>1</v>
      </c>
      <c r="L13" s="2"/>
    </row>
    <row r="14" spans="1:12" ht="20.25" customHeight="1">
      <c r="B14" s="7" t="s">
        <v>18</v>
      </c>
      <c r="C14" s="1" t="s">
        <v>14</v>
      </c>
      <c r="D14" s="5"/>
      <c r="E14" s="5"/>
      <c r="F14" s="18"/>
      <c r="G14" s="18"/>
      <c r="H14" s="56">
        <v>4</v>
      </c>
      <c r="L14" s="2"/>
    </row>
    <row r="15" spans="1:12" ht="20.25" customHeight="1">
      <c r="B15" s="7" t="s">
        <v>7</v>
      </c>
      <c r="C15" s="5" t="s">
        <v>20</v>
      </c>
      <c r="D15" s="5"/>
      <c r="E15" s="5"/>
      <c r="F15" s="17"/>
      <c r="G15" s="18"/>
      <c r="H15" s="6">
        <f>H12+H13-H14</f>
        <v>79.918399999999991</v>
      </c>
      <c r="L15" s="2"/>
    </row>
    <row r="16" spans="1:12" ht="20.25" customHeight="1">
      <c r="B16" s="4" t="s">
        <v>5</v>
      </c>
      <c r="C16" s="83" t="s">
        <v>16</v>
      </c>
      <c r="D16" s="83"/>
      <c r="E16" s="83"/>
      <c r="F16" s="57">
        <v>3</v>
      </c>
      <c r="G16" s="20"/>
      <c r="H16" s="6">
        <f>F16*H15/100</f>
        <v>2.3975519999999997</v>
      </c>
      <c r="L16" s="2"/>
    </row>
    <row r="17" spans="2:14" ht="20.25" customHeight="1">
      <c r="B17" s="4" t="s">
        <v>5</v>
      </c>
      <c r="C17" s="83" t="s">
        <v>17</v>
      </c>
      <c r="D17" s="83"/>
      <c r="E17" s="83"/>
      <c r="F17" s="57">
        <v>8</v>
      </c>
      <c r="G17" s="20"/>
      <c r="H17" s="6">
        <f>F17*H15/100</f>
        <v>6.3934719999999992</v>
      </c>
    </row>
    <row r="18" spans="2:14" ht="20.25" customHeight="1">
      <c r="B18" s="4" t="s">
        <v>5</v>
      </c>
      <c r="C18" s="83" t="s">
        <v>19</v>
      </c>
      <c r="D18" s="83"/>
      <c r="E18" s="83"/>
      <c r="F18" s="17"/>
      <c r="G18" s="17"/>
      <c r="H18" s="56">
        <v>2</v>
      </c>
      <c r="L18" s="2"/>
    </row>
    <row r="19" spans="2:14" ht="20.25" customHeight="1">
      <c r="B19" s="7" t="s">
        <v>7</v>
      </c>
      <c r="C19" s="92" t="s">
        <v>25</v>
      </c>
      <c r="D19" s="92"/>
      <c r="E19" s="92"/>
      <c r="F19" s="17"/>
      <c r="G19" s="17"/>
      <c r="H19" s="6">
        <f>SUM(H15:H18)</f>
        <v>90.709423999999999</v>
      </c>
    </row>
    <row r="20" spans="2:14" ht="20.25" customHeight="1">
      <c r="B20" s="4" t="s">
        <v>5</v>
      </c>
      <c r="C20" s="83" t="s">
        <v>21</v>
      </c>
      <c r="D20" s="83"/>
      <c r="E20" s="83"/>
      <c r="F20" s="57">
        <v>21</v>
      </c>
      <c r="G20" s="20"/>
      <c r="H20" s="6">
        <f>F20*H19/100</f>
        <v>19.048979039999999</v>
      </c>
    </row>
    <row r="21" spans="2:14" ht="20.25" customHeight="1">
      <c r="B21" s="7" t="s">
        <v>7</v>
      </c>
      <c r="C21" s="92" t="s">
        <v>26</v>
      </c>
      <c r="D21" s="92"/>
      <c r="E21" s="92"/>
      <c r="F21" s="17"/>
      <c r="G21" s="18">
        <f>100-F22</f>
        <v>96</v>
      </c>
      <c r="H21" s="6">
        <f>SUM(H19:H20)</f>
        <v>109.75840303999999</v>
      </c>
    </row>
    <row r="22" spans="2:14" ht="20.25" customHeight="1">
      <c r="B22" s="4" t="s">
        <v>5</v>
      </c>
      <c r="C22" s="83" t="s">
        <v>22</v>
      </c>
      <c r="D22" s="83"/>
      <c r="E22" s="83"/>
      <c r="F22" s="57">
        <v>4</v>
      </c>
      <c r="G22" s="20"/>
      <c r="H22" s="6">
        <f>F22*H21/G21</f>
        <v>4.5732667933333326</v>
      </c>
    </row>
    <row r="23" spans="2:14" ht="20.25" customHeight="1">
      <c r="B23" s="7" t="s">
        <v>7</v>
      </c>
      <c r="C23" s="92" t="s">
        <v>27</v>
      </c>
      <c r="D23" s="92"/>
      <c r="E23" s="92"/>
      <c r="F23" s="17"/>
      <c r="G23" s="18">
        <f>100-F24</f>
        <v>95</v>
      </c>
      <c r="H23" s="6">
        <f>SUM(H21:H22)</f>
        <v>114.33166983333332</v>
      </c>
      <c r="L23" s="6"/>
      <c r="M23" s="59"/>
    </row>
    <row r="24" spans="2:14" ht="20.25" customHeight="1">
      <c r="B24" s="4" t="s">
        <v>5</v>
      </c>
      <c r="C24" s="83" t="s">
        <v>28</v>
      </c>
      <c r="D24" s="83"/>
      <c r="E24" s="83"/>
      <c r="F24" s="57">
        <v>5</v>
      </c>
      <c r="G24" s="20"/>
      <c r="H24" s="6">
        <f>F24*H23/G23</f>
        <v>6.017456307017544</v>
      </c>
      <c r="L24" s="6"/>
      <c r="M24" s="59"/>
      <c r="N24" s="6"/>
    </row>
    <row r="25" spans="2:14" ht="20.25" customHeight="1">
      <c r="B25" s="7" t="s">
        <v>7</v>
      </c>
      <c r="C25" s="10" t="s">
        <v>29</v>
      </c>
      <c r="D25" s="10"/>
      <c r="E25" s="10"/>
      <c r="F25" s="17"/>
      <c r="G25" s="18">
        <f>100-F26</f>
        <v>93</v>
      </c>
      <c r="H25" s="6">
        <f>SUM(H23:H24)</f>
        <v>120.34912614035086</v>
      </c>
    </row>
    <row r="26" spans="2:14" ht="20.25" customHeight="1">
      <c r="B26" s="4" t="s">
        <v>5</v>
      </c>
      <c r="C26" s="83" t="s">
        <v>24</v>
      </c>
      <c r="D26" s="83"/>
      <c r="E26" s="83"/>
      <c r="F26" s="57">
        <v>7</v>
      </c>
      <c r="G26" s="20"/>
      <c r="H26" s="6">
        <f>F26*H25/G25</f>
        <v>9.0585363761554412</v>
      </c>
    </row>
    <row r="27" spans="2:14" ht="20.25" customHeight="1">
      <c r="B27" s="7" t="s">
        <v>7</v>
      </c>
      <c r="C27" s="92" t="s">
        <v>30</v>
      </c>
      <c r="D27" s="92"/>
      <c r="E27" s="92"/>
      <c r="F27" s="18"/>
      <c r="G27" s="18"/>
      <c r="H27" s="6">
        <f>SUM(H25:H26)</f>
        <v>129.40766251650629</v>
      </c>
    </row>
  </sheetData>
  <sheetProtection algorithmName="SHA-512" hashValue="mTZY5JXyuvKrQRMY5uml/EGarue54o0dLdCq6OJeHWgpsGkQKw7NYKruufcOviYEyjF7T3hBwYUoz2kTD4KzTg==" saltValue="QUX0RGrtFclwY5H+uiPctQ==" spinCount="100000" sheet="1" objects="1" scenarios="1" selectLockedCells="1"/>
  <mergeCells count="20">
    <mergeCell ref="F4:G4"/>
    <mergeCell ref="C19:E19"/>
    <mergeCell ref="C5:E5"/>
    <mergeCell ref="C6:E6"/>
    <mergeCell ref="C7:E7"/>
    <mergeCell ref="C8:E8"/>
    <mergeCell ref="C9:E9"/>
    <mergeCell ref="C10:E10"/>
    <mergeCell ref="C11:E11"/>
    <mergeCell ref="C12:E12"/>
    <mergeCell ref="C16:E16"/>
    <mergeCell ref="C17:E17"/>
    <mergeCell ref="C18:E18"/>
    <mergeCell ref="C27:E27"/>
    <mergeCell ref="C20:E20"/>
    <mergeCell ref="C21:E21"/>
    <mergeCell ref="C22:E22"/>
    <mergeCell ref="C23:E23"/>
    <mergeCell ref="C24:E24"/>
    <mergeCell ref="C26:E26"/>
  </mergeCells>
  <pageMargins left="0.7" right="0.7" top="0.78740157499999996" bottom="0.78740157499999996" header="0.3" footer="0.3"/>
  <ignoredErrors>
    <ignoredError sqref="H22:H26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C0576-A565-45DE-AAD7-2FA23C655FBE}">
  <sheetPr codeName="Tabelle3"/>
  <dimension ref="A1:Q35"/>
  <sheetViews>
    <sheetView zoomScale="130" zoomScaleNormal="130" workbookViewId="0">
      <selection activeCell="I13" sqref="I13"/>
    </sheetView>
  </sheetViews>
  <sheetFormatPr defaultColWidth="11.42578125" defaultRowHeight="15"/>
  <cols>
    <col min="1" max="4" width="11.42578125" style="8"/>
    <col min="5" max="5" width="18" style="8" customWidth="1"/>
    <col min="6" max="6" width="11.42578125" style="8"/>
    <col min="7" max="7" width="4.28515625" style="8" customWidth="1"/>
    <col min="8" max="8" width="8" style="8" customWidth="1"/>
    <col min="9" max="10" width="11.42578125" style="8"/>
    <col min="11" max="11" width="5.7109375" customWidth="1"/>
    <col min="12" max="12" width="20.85546875" customWidth="1"/>
    <col min="13" max="13" width="10.28515625" customWidth="1"/>
    <col min="16" max="16" width="22" customWidth="1"/>
    <col min="17" max="18" width="12" customWidth="1"/>
  </cols>
  <sheetData>
    <row r="1" spans="1:14" ht="18.75">
      <c r="A1" s="12" t="s">
        <v>31</v>
      </c>
    </row>
    <row r="4" spans="1:14" ht="18.75">
      <c r="B4"/>
      <c r="C4"/>
      <c r="D4"/>
      <c r="E4"/>
      <c r="F4" s="90" t="s">
        <v>3</v>
      </c>
      <c r="G4" s="90"/>
      <c r="H4" s="90"/>
      <c r="I4"/>
      <c r="L4" s="11" t="s">
        <v>1</v>
      </c>
    </row>
    <row r="5" spans="1:14" ht="20.25" customHeight="1">
      <c r="B5"/>
      <c r="C5" s="83" t="s">
        <v>4</v>
      </c>
      <c r="D5" s="83"/>
      <c r="E5" s="83"/>
      <c r="F5" s="13"/>
      <c r="G5" s="13"/>
      <c r="H5" s="14"/>
      <c r="I5" s="9">
        <v>47.12</v>
      </c>
    </row>
    <row r="6" spans="1:14" ht="20.25" customHeight="1">
      <c r="B6" s="4" t="s">
        <v>5</v>
      </c>
      <c r="C6" s="83" t="s">
        <v>6</v>
      </c>
      <c r="D6" s="83"/>
      <c r="E6" s="83"/>
      <c r="F6" s="15">
        <v>7</v>
      </c>
      <c r="G6" s="57"/>
      <c r="H6" s="20"/>
      <c r="I6" s="6">
        <f>F6*I5/100</f>
        <v>3.2983999999999996</v>
      </c>
      <c r="L6" t="s">
        <v>32</v>
      </c>
    </row>
    <row r="7" spans="1:14" ht="20.25" customHeight="1">
      <c r="B7" s="7" t="s">
        <v>7</v>
      </c>
      <c r="C7" s="92" t="s">
        <v>8</v>
      </c>
      <c r="D7" s="92"/>
      <c r="E7" s="92"/>
      <c r="F7" s="17"/>
      <c r="G7" s="17"/>
      <c r="H7" s="17"/>
      <c r="I7" s="6">
        <f>SUM(I5:I6)</f>
        <v>50.418399999999998</v>
      </c>
      <c r="L7" t="s">
        <v>33</v>
      </c>
    </row>
    <row r="8" spans="1:14" ht="20.25" customHeight="1">
      <c r="B8" s="3"/>
      <c r="C8" s="83" t="s">
        <v>9</v>
      </c>
      <c r="D8" s="83"/>
      <c r="E8" s="83"/>
      <c r="F8" s="17"/>
      <c r="G8" s="17"/>
      <c r="H8" s="17"/>
      <c r="I8" s="9">
        <v>15</v>
      </c>
      <c r="L8" t="s">
        <v>34</v>
      </c>
    </row>
    <row r="9" spans="1:14" ht="20.25" customHeight="1">
      <c r="B9" s="4" t="s">
        <v>5</v>
      </c>
      <c r="C9" s="83" t="s">
        <v>10</v>
      </c>
      <c r="D9" s="83"/>
      <c r="E9" s="83"/>
      <c r="F9" s="15">
        <v>100</v>
      </c>
      <c r="G9" s="57"/>
      <c r="H9" s="20"/>
      <c r="I9" s="6">
        <f>F9*I8/100</f>
        <v>15</v>
      </c>
      <c r="L9" t="s">
        <v>35</v>
      </c>
    </row>
    <row r="10" spans="1:14" ht="20.25" customHeight="1">
      <c r="B10" s="4" t="s">
        <v>5</v>
      </c>
      <c r="C10" s="83" t="s">
        <v>11</v>
      </c>
      <c r="D10" s="83"/>
      <c r="E10" s="83"/>
      <c r="F10" s="17"/>
      <c r="G10" s="17"/>
      <c r="H10" s="17"/>
      <c r="I10" s="9">
        <v>2.5</v>
      </c>
    </row>
    <row r="11" spans="1:14" ht="20.25" customHeight="1">
      <c r="B11" s="7" t="s">
        <v>7</v>
      </c>
      <c r="C11" s="92" t="s">
        <v>13</v>
      </c>
      <c r="D11" s="92"/>
      <c r="E11" s="92"/>
      <c r="F11" s="17"/>
      <c r="G11" s="17"/>
      <c r="H11" s="17"/>
      <c r="I11" s="6">
        <f>SUM(I8:I10)</f>
        <v>32.5</v>
      </c>
      <c r="L11" s="60" t="s">
        <v>36</v>
      </c>
    </row>
    <row r="12" spans="1:14" ht="20.25" customHeight="1">
      <c r="B12" s="7" t="s">
        <v>7</v>
      </c>
      <c r="C12" s="92" t="s">
        <v>15</v>
      </c>
      <c r="D12" s="92"/>
      <c r="E12" s="92"/>
      <c r="F12" s="17"/>
      <c r="G12" s="17"/>
      <c r="H12" s="18"/>
      <c r="I12" s="6">
        <f>SUM(I7,I11)</f>
        <v>82.918399999999991</v>
      </c>
      <c r="L12" t="s">
        <v>37</v>
      </c>
      <c r="M12" s="2">
        <f>$I$21</f>
        <v>109.75840303999999</v>
      </c>
      <c r="N12" t="s">
        <v>38</v>
      </c>
    </row>
    <row r="13" spans="1:14" ht="20.25" customHeight="1">
      <c r="B13" s="7" t="s">
        <v>5</v>
      </c>
      <c r="C13" s="1" t="s">
        <v>12</v>
      </c>
      <c r="D13" s="5"/>
      <c r="E13" s="5"/>
      <c r="F13" s="18"/>
      <c r="G13" s="18"/>
      <c r="H13" s="18"/>
      <c r="I13" s="9">
        <v>1</v>
      </c>
      <c r="L13" t="s">
        <v>39</v>
      </c>
      <c r="M13" s="2">
        <f>$F$22</f>
        <v>4</v>
      </c>
      <c r="N13" t="s">
        <v>40</v>
      </c>
    </row>
    <row r="14" spans="1:14" ht="20.25" customHeight="1">
      <c r="B14" s="7" t="s">
        <v>18</v>
      </c>
      <c r="C14" s="1" t="s">
        <v>14</v>
      </c>
      <c r="D14" s="5"/>
      <c r="E14" s="5"/>
      <c r="F14" s="18"/>
      <c r="G14" s="18"/>
      <c r="H14" s="18"/>
      <c r="I14" s="9">
        <v>4</v>
      </c>
      <c r="L14" t="s">
        <v>41</v>
      </c>
      <c r="M14" s="2">
        <f>$I$23</f>
        <v>114.33166983333332</v>
      </c>
      <c r="N14" t="s">
        <v>42</v>
      </c>
    </row>
    <row r="15" spans="1:14" ht="20.25" customHeight="1">
      <c r="B15" s="7" t="s">
        <v>7</v>
      </c>
      <c r="C15" s="5" t="s">
        <v>20</v>
      </c>
      <c r="D15" s="5"/>
      <c r="E15" s="5"/>
      <c r="F15" s="17"/>
      <c r="G15" s="17"/>
      <c r="H15" s="18"/>
      <c r="I15" s="6">
        <f>I12+I13-I14</f>
        <v>79.918399999999991</v>
      </c>
      <c r="L15" t="s">
        <v>43</v>
      </c>
      <c r="M15" s="2">
        <f>$F$24</f>
        <v>5</v>
      </c>
      <c r="N15" t="s">
        <v>40</v>
      </c>
    </row>
    <row r="16" spans="1:14" ht="20.25" customHeight="1">
      <c r="B16" s="4" t="s">
        <v>5</v>
      </c>
      <c r="C16" s="83" t="s">
        <v>16</v>
      </c>
      <c r="D16" s="83"/>
      <c r="E16" s="83"/>
      <c r="F16" s="15">
        <v>3</v>
      </c>
      <c r="G16" s="57"/>
      <c r="H16" s="20"/>
      <c r="I16" s="6">
        <f>F16*I15/100</f>
        <v>2.3975519999999997</v>
      </c>
      <c r="L16" t="s">
        <v>44</v>
      </c>
      <c r="M16" s="2">
        <f>$I$25</f>
        <v>120.34912614035086</v>
      </c>
      <c r="N16" t="s">
        <v>45</v>
      </c>
    </row>
    <row r="17" spans="2:17" ht="20.25" customHeight="1">
      <c r="B17" s="4" t="s">
        <v>5</v>
      </c>
      <c r="C17" s="83" t="s">
        <v>17</v>
      </c>
      <c r="D17" s="83"/>
      <c r="E17" s="83"/>
      <c r="F17" s="15">
        <v>8</v>
      </c>
      <c r="G17" s="57"/>
      <c r="H17" s="20"/>
      <c r="I17" s="6">
        <f>F17*I15/100</f>
        <v>6.3934719999999992</v>
      </c>
      <c r="L17" t="s">
        <v>46</v>
      </c>
      <c r="M17" s="2">
        <f>$F$26</f>
        <v>7</v>
      </c>
      <c r="N17" t="s">
        <v>47</v>
      </c>
    </row>
    <row r="18" spans="2:17" ht="20.25" customHeight="1">
      <c r="B18" s="4" t="s">
        <v>5</v>
      </c>
      <c r="C18" s="83" t="s">
        <v>19</v>
      </c>
      <c r="D18" s="83"/>
      <c r="E18" s="83"/>
      <c r="F18" s="17"/>
      <c r="G18" s="17"/>
      <c r="H18" s="17"/>
      <c r="I18" s="9">
        <v>2</v>
      </c>
      <c r="L18" t="s">
        <v>48</v>
      </c>
      <c r="M18" s="2">
        <v>1</v>
      </c>
      <c r="N18" t="s">
        <v>49</v>
      </c>
    </row>
    <row r="19" spans="2:17" ht="20.25" customHeight="1">
      <c r="B19" s="7" t="s">
        <v>7</v>
      </c>
      <c r="C19" s="92" t="s">
        <v>25</v>
      </c>
      <c r="D19" s="92"/>
      <c r="E19" s="92"/>
      <c r="F19" s="17"/>
      <c r="G19" s="17"/>
      <c r="H19" s="17"/>
      <c r="I19" s="6">
        <f>SUM(I15:I18)</f>
        <v>90.709423999999999</v>
      </c>
    </row>
    <row r="20" spans="2:17" ht="20.25" customHeight="1">
      <c r="B20" s="4" t="s">
        <v>5</v>
      </c>
      <c r="C20" s="83" t="s">
        <v>21</v>
      </c>
      <c r="D20" s="83"/>
      <c r="E20" s="83"/>
      <c r="F20" s="15">
        <v>21</v>
      </c>
      <c r="G20" s="57"/>
      <c r="H20" s="20"/>
      <c r="I20" s="6">
        <f>F20*I19/100</f>
        <v>19.048979039999999</v>
      </c>
      <c r="L20" t="s">
        <v>50</v>
      </c>
      <c r="M20" s="2">
        <v>0.19</v>
      </c>
      <c r="N20" t="s">
        <v>51</v>
      </c>
    </row>
    <row r="21" spans="2:17" ht="20.25" customHeight="1">
      <c r="B21" s="7" t="s">
        <v>7</v>
      </c>
      <c r="C21" s="92" t="s">
        <v>26</v>
      </c>
      <c r="D21" s="92"/>
      <c r="E21" s="92"/>
      <c r="F21" s="17"/>
      <c r="G21" s="17"/>
      <c r="H21" s="18">
        <f>100-F22</f>
        <v>96</v>
      </c>
      <c r="I21" s="6">
        <f>SUM(I19:I20)</f>
        <v>109.75840303999999</v>
      </c>
      <c r="L21" t="s">
        <v>52</v>
      </c>
    </row>
    <row r="22" spans="2:17" ht="20.25" customHeight="1">
      <c r="B22" s="4" t="s">
        <v>5</v>
      </c>
      <c r="C22" s="83" t="s">
        <v>22</v>
      </c>
      <c r="D22" s="83"/>
      <c r="E22" s="83"/>
      <c r="F22" s="15">
        <v>4</v>
      </c>
      <c r="G22" s="57"/>
      <c r="H22" s="20"/>
      <c r="I22" s="6">
        <f>F22*I21/H21</f>
        <v>4.5732667933333326</v>
      </c>
    </row>
    <row r="23" spans="2:17" ht="20.25" customHeight="1">
      <c r="B23" s="7" t="s">
        <v>7</v>
      </c>
      <c r="C23" s="92" t="s">
        <v>27</v>
      </c>
      <c r="D23" s="92"/>
      <c r="E23" s="92"/>
      <c r="F23" s="17"/>
      <c r="G23" s="17"/>
      <c r="H23" s="18">
        <f>100-F24</f>
        <v>95</v>
      </c>
      <c r="I23" s="6">
        <f>SUM(I21:I22)</f>
        <v>114.33166983333332</v>
      </c>
      <c r="L23" s="61" t="s">
        <v>53</v>
      </c>
    </row>
    <row r="24" spans="2:17" ht="20.25" customHeight="1">
      <c r="B24" s="4" t="s">
        <v>5</v>
      </c>
      <c r="C24" s="83" t="s">
        <v>28</v>
      </c>
      <c r="D24" s="83"/>
      <c r="E24" s="83"/>
      <c r="F24" s="15">
        <v>5</v>
      </c>
      <c r="G24" s="57"/>
      <c r="H24" s="20"/>
      <c r="I24" s="6">
        <f>F24*I23/H23</f>
        <v>6.017456307017544</v>
      </c>
      <c r="L24" t="s">
        <v>54</v>
      </c>
      <c r="M24" s="6" t="e">
        <f>N24*M26</f>
        <v>#REF!</v>
      </c>
      <c r="N24" s="59">
        <v>1.19</v>
      </c>
    </row>
    <row r="25" spans="2:17" ht="20.25" customHeight="1">
      <c r="B25" s="7" t="s">
        <v>7</v>
      </c>
      <c r="C25" s="10" t="s">
        <v>29</v>
      </c>
      <c r="D25" s="10"/>
      <c r="E25" s="10"/>
      <c r="F25" s="17"/>
      <c r="G25" s="17"/>
      <c r="H25" s="18">
        <f>100-F26</f>
        <v>93</v>
      </c>
      <c r="I25" s="6">
        <f>SUM(I23:I24)</f>
        <v>120.34912614035086</v>
      </c>
      <c r="L25" t="s">
        <v>55</v>
      </c>
      <c r="M25" s="6" t="e">
        <f>N25*M26</f>
        <v>#REF!</v>
      </c>
      <c r="N25" s="59">
        <v>0.19</v>
      </c>
    </row>
    <row r="26" spans="2:17" ht="20.25" customHeight="1">
      <c r="B26" s="4" t="s">
        <v>5</v>
      </c>
      <c r="C26" s="83" t="s">
        <v>24</v>
      </c>
      <c r="D26" s="83"/>
      <c r="E26" s="83"/>
      <c r="F26" s="15">
        <v>7</v>
      </c>
      <c r="G26" s="57"/>
      <c r="H26" s="20"/>
      <c r="I26" s="6">
        <f>F26*I25/H25</f>
        <v>9.0585363761554412</v>
      </c>
      <c r="L26" t="s">
        <v>56</v>
      </c>
      <c r="M26" s="6" t="e">
        <f>#REF!</f>
        <v>#REF!</v>
      </c>
      <c r="N26" s="59">
        <v>1</v>
      </c>
      <c r="O26" s="62" t="s">
        <v>57</v>
      </c>
    </row>
    <row r="27" spans="2:17" ht="20.25" customHeight="1">
      <c r="B27" s="7" t="s">
        <v>7</v>
      </c>
      <c r="C27" s="92" t="s">
        <v>30</v>
      </c>
      <c r="D27" s="92"/>
      <c r="E27" s="92"/>
      <c r="F27" s="18"/>
      <c r="G27" s="18"/>
      <c r="H27" s="18"/>
      <c r="I27" s="6">
        <f>SUM(I25:I26)</f>
        <v>129.40766251650629</v>
      </c>
      <c r="L27" t="s">
        <v>58</v>
      </c>
      <c r="M27" s="6" t="e">
        <f>#REF!</f>
        <v>#REF!</v>
      </c>
      <c r="N27" s="59">
        <f>$F$26</f>
        <v>7</v>
      </c>
      <c r="Q27" s="63"/>
    </row>
    <row r="28" spans="2:17">
      <c r="L28" t="s">
        <v>59</v>
      </c>
      <c r="M28" s="6" t="e">
        <f>#REF!</f>
        <v>#REF!</v>
      </c>
      <c r="N28" s="59">
        <f>$I$25</f>
        <v>120.34912614035086</v>
      </c>
      <c r="O28" s="64" t="s">
        <v>60</v>
      </c>
    </row>
    <row r="29" spans="2:17">
      <c r="L29" t="s">
        <v>61</v>
      </c>
      <c r="M29" s="6" t="e">
        <f>#REF!</f>
        <v>#REF!</v>
      </c>
      <c r="N29" s="59">
        <v>0.05</v>
      </c>
      <c r="O29" s="64"/>
    </row>
    <row r="30" spans="2:17">
      <c r="L30" t="s">
        <v>62</v>
      </c>
      <c r="M30" s="6" t="e">
        <f>#REF!</f>
        <v>#REF!</v>
      </c>
      <c r="N30" s="59">
        <f>$I$23</f>
        <v>114.33166983333332</v>
      </c>
      <c r="O30" s="64" t="s">
        <v>63</v>
      </c>
    </row>
    <row r="31" spans="2:17">
      <c r="L31" t="s">
        <v>64</v>
      </c>
      <c r="M31" s="6" t="e">
        <f>#REF!</f>
        <v>#REF!</v>
      </c>
      <c r="N31" s="59">
        <f>$F$22</f>
        <v>4</v>
      </c>
    </row>
    <row r="32" spans="2:17">
      <c r="L32" t="s">
        <v>65</v>
      </c>
      <c r="M32" s="6" t="e">
        <f>#REF!</f>
        <v>#REF!</v>
      </c>
      <c r="N32" s="59">
        <f>$I$21</f>
        <v>109.75840303999999</v>
      </c>
      <c r="O32" s="64" t="s">
        <v>66</v>
      </c>
    </row>
    <row r="33" spans="12:17">
      <c r="O33" t="s">
        <v>67</v>
      </c>
      <c r="Q33" s="63">
        <f>$F$21</f>
        <v>0</v>
      </c>
    </row>
    <row r="34" spans="12:17">
      <c r="L34" t="s">
        <v>68</v>
      </c>
      <c r="M34" s="6" t="e">
        <f>#REF!</f>
        <v>#REF!</v>
      </c>
      <c r="N34" s="59">
        <f>$F$20</f>
        <v>21</v>
      </c>
    </row>
    <row r="35" spans="12:17">
      <c r="L35" t="s">
        <v>69</v>
      </c>
      <c r="M35" s="6" t="e">
        <f>#REF!</f>
        <v>#REF!</v>
      </c>
      <c r="N35" s="59">
        <f>$I$19</f>
        <v>90.709423999999999</v>
      </c>
      <c r="O35" t="s">
        <v>70</v>
      </c>
    </row>
  </sheetData>
  <sheetProtection algorithmName="SHA-512" hashValue="pRFpxtNfpzplTknS4nzfxnLrzgDgY0Hel1oQk1Do5zQXZzduzEc/efPlfKO8yTt7ZG7s/qhbAij5wY7gxujMug==" saltValue="XEIiilW/a2wtBnIGIYS3Gg==" spinCount="100000" sheet="1" objects="1" scenarios="1" selectLockedCells="1"/>
  <mergeCells count="20">
    <mergeCell ref="F4:H4"/>
    <mergeCell ref="C8:E8"/>
    <mergeCell ref="C9:E9"/>
    <mergeCell ref="C10:E10"/>
    <mergeCell ref="C5:E5"/>
    <mergeCell ref="C6:E6"/>
    <mergeCell ref="C7:E7"/>
    <mergeCell ref="C17:E17"/>
    <mergeCell ref="C18:E18"/>
    <mergeCell ref="C19:E19"/>
    <mergeCell ref="C11:E11"/>
    <mergeCell ref="C12:E12"/>
    <mergeCell ref="C16:E16"/>
    <mergeCell ref="C27:E27"/>
    <mergeCell ref="C23:E23"/>
    <mergeCell ref="C24:E24"/>
    <mergeCell ref="C26:E26"/>
    <mergeCell ref="C20:E20"/>
    <mergeCell ref="C21:E21"/>
    <mergeCell ref="C22:E22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2353-9472-45F1-AFAC-DC11258301B3}">
  <sheetPr codeName="Tabelle4"/>
  <dimension ref="A1:Q30"/>
  <sheetViews>
    <sheetView zoomScale="130" zoomScaleNormal="130" workbookViewId="0">
      <selection activeCell="F22" sqref="F22"/>
    </sheetView>
  </sheetViews>
  <sheetFormatPr defaultColWidth="11.42578125" defaultRowHeight="15"/>
  <cols>
    <col min="1" max="4" width="11.42578125" style="8"/>
    <col min="5" max="5" width="18" style="8" customWidth="1"/>
    <col min="6" max="6" width="11.42578125" style="8"/>
    <col min="7" max="7" width="4.5703125" style="8" customWidth="1"/>
    <col min="8" max="8" width="11.42578125" style="8" customWidth="1"/>
    <col min="9" max="10" width="11.42578125" style="8"/>
    <col min="11" max="11" width="5.7109375" customWidth="1"/>
    <col min="12" max="12" width="26.140625" customWidth="1"/>
    <col min="13" max="13" width="10.28515625" customWidth="1"/>
    <col min="16" max="16" width="21.5703125" customWidth="1"/>
  </cols>
  <sheetData>
    <row r="1" spans="1:17" ht="18.75">
      <c r="A1" s="12" t="s">
        <v>31</v>
      </c>
    </row>
    <row r="4" spans="1:17" ht="18.75">
      <c r="B4"/>
      <c r="C4"/>
      <c r="D4"/>
      <c r="E4"/>
      <c r="F4" s="90" t="s">
        <v>3</v>
      </c>
      <c r="G4" s="90"/>
      <c r="H4" s="90"/>
      <c r="I4"/>
      <c r="L4" s="11" t="s">
        <v>1</v>
      </c>
    </row>
    <row r="5" spans="1:17" ht="20.25" customHeight="1">
      <c r="B5"/>
      <c r="C5" s="83" t="s">
        <v>4</v>
      </c>
      <c r="D5" s="83"/>
      <c r="E5" s="83"/>
      <c r="F5" s="2"/>
      <c r="G5" s="2"/>
      <c r="H5" s="1"/>
      <c r="I5" s="9">
        <v>47.12</v>
      </c>
    </row>
    <row r="6" spans="1:17" ht="20.25" customHeight="1">
      <c r="B6" s="4" t="s">
        <v>5</v>
      </c>
      <c r="C6" s="83" t="s">
        <v>6</v>
      </c>
      <c r="D6" s="83"/>
      <c r="E6" s="83"/>
      <c r="F6" s="82">
        <v>7.0000000000000007E-2</v>
      </c>
      <c r="G6" s="22"/>
      <c r="H6" s="22"/>
      <c r="I6" s="6">
        <f>F6*I5/100</f>
        <v>3.2983999999999999E-2</v>
      </c>
      <c r="L6" t="s">
        <v>71</v>
      </c>
    </row>
    <row r="7" spans="1:17" ht="20.25" customHeight="1">
      <c r="B7" s="7" t="s">
        <v>7</v>
      </c>
      <c r="C7" s="92" t="s">
        <v>8</v>
      </c>
      <c r="D7" s="92"/>
      <c r="E7" s="92"/>
      <c r="F7" s="2"/>
      <c r="G7" s="2"/>
      <c r="H7" s="2"/>
      <c r="I7" s="6">
        <f>SUM(I5:I6)</f>
        <v>47.152983999999996</v>
      </c>
    </row>
    <row r="8" spans="1:17" ht="20.25" customHeight="1">
      <c r="B8" s="3"/>
      <c r="C8" s="83" t="s">
        <v>9</v>
      </c>
      <c r="D8" s="83"/>
      <c r="E8" s="83"/>
      <c r="F8" s="2"/>
      <c r="G8" s="2"/>
      <c r="H8" s="3"/>
      <c r="I8" s="9">
        <v>15</v>
      </c>
      <c r="L8" s="65" t="s">
        <v>56</v>
      </c>
      <c r="M8" s="66">
        <f>$I$27</f>
        <v>75.463469526614119</v>
      </c>
      <c r="N8" s="67">
        <v>1</v>
      </c>
      <c r="O8" s="62" t="s">
        <v>57</v>
      </c>
    </row>
    <row r="9" spans="1:17" ht="20.25" customHeight="1">
      <c r="B9" s="4" t="s">
        <v>5</v>
      </c>
      <c r="C9" s="83" t="s">
        <v>10</v>
      </c>
      <c r="D9" s="83"/>
      <c r="E9" s="83"/>
      <c r="F9" s="82">
        <v>1</v>
      </c>
      <c r="G9" s="22"/>
      <c r="H9" s="22"/>
      <c r="I9" s="6">
        <f>F9*I8/100</f>
        <v>0.15</v>
      </c>
      <c r="L9" s="65" t="s">
        <v>58</v>
      </c>
      <c r="M9" s="66">
        <f>$I$26</f>
        <v>5.282442866862989</v>
      </c>
      <c r="N9" s="67">
        <f>$F$26</f>
        <v>7.0000000000000007E-2</v>
      </c>
      <c r="Q9" s="63"/>
    </row>
    <row r="10" spans="1:17" ht="20.25" customHeight="1">
      <c r="B10" s="4" t="s">
        <v>5</v>
      </c>
      <c r="C10" s="83" t="s">
        <v>11</v>
      </c>
      <c r="D10" s="83"/>
      <c r="E10" s="83"/>
      <c r="F10" s="3"/>
      <c r="G10" s="3"/>
      <c r="H10" s="3"/>
      <c r="I10" s="9">
        <v>2.5</v>
      </c>
      <c r="L10" s="65" t="s">
        <v>59</v>
      </c>
      <c r="M10" s="66">
        <f>$I$25</f>
        <v>70.181026659751126</v>
      </c>
      <c r="N10" s="67">
        <f>$H$25</f>
        <v>0.92999999999999994</v>
      </c>
      <c r="O10" s="64" t="s">
        <v>60</v>
      </c>
    </row>
    <row r="11" spans="1:17" ht="20.25" customHeight="1">
      <c r="B11" s="7" t="s">
        <v>7</v>
      </c>
      <c r="C11" s="92" t="s">
        <v>13</v>
      </c>
      <c r="D11" s="92"/>
      <c r="E11" s="92"/>
      <c r="F11" s="2"/>
      <c r="G11" s="2"/>
      <c r="H11" s="2"/>
      <c r="I11" s="6">
        <f>SUM(I8:I10)</f>
        <v>17.649999999999999</v>
      </c>
      <c r="L11" s="65" t="s">
        <v>61</v>
      </c>
      <c r="M11" s="66">
        <f>$I$24</f>
        <v>3.509051332987557</v>
      </c>
      <c r="N11" s="67">
        <v>0.05</v>
      </c>
      <c r="O11" s="64"/>
    </row>
    <row r="12" spans="1:17" ht="20.25" customHeight="1">
      <c r="B12" s="7" t="s">
        <v>7</v>
      </c>
      <c r="C12" s="92" t="s">
        <v>15</v>
      </c>
      <c r="D12" s="92"/>
      <c r="E12" s="92"/>
      <c r="F12" s="2"/>
      <c r="G12" s="23"/>
      <c r="H12" s="24"/>
      <c r="I12" s="6">
        <f>SUM(I7,I11)</f>
        <v>64.802983999999995</v>
      </c>
      <c r="L12" s="65" t="s">
        <v>62</v>
      </c>
      <c r="M12" s="66">
        <f>$I$23</f>
        <v>66.671975326763572</v>
      </c>
      <c r="N12" s="67">
        <f>$H$23</f>
        <v>0.95</v>
      </c>
      <c r="O12" s="64" t="s">
        <v>63</v>
      </c>
    </row>
    <row r="13" spans="1:17" ht="20.25" customHeight="1">
      <c r="B13" s="7" t="s">
        <v>5</v>
      </c>
      <c r="C13" s="1" t="s">
        <v>12</v>
      </c>
      <c r="D13" s="5"/>
      <c r="E13" s="5"/>
      <c r="F13" s="24"/>
      <c r="G13" s="24"/>
      <c r="H13" s="24"/>
      <c r="I13" s="9">
        <v>1</v>
      </c>
      <c r="L13" s="65" t="s">
        <v>64</v>
      </c>
      <c r="M13" s="66">
        <f>$I$22</f>
        <v>2.6668790130705431</v>
      </c>
      <c r="N13" s="67">
        <f>$F$22</f>
        <v>0.04</v>
      </c>
    </row>
    <row r="14" spans="1:17" ht="20.25" customHeight="1">
      <c r="B14" s="7" t="s">
        <v>18</v>
      </c>
      <c r="C14" s="1" t="s">
        <v>14</v>
      </c>
      <c r="D14" s="5"/>
      <c r="E14" s="5"/>
      <c r="F14" s="24"/>
      <c r="G14" s="24"/>
      <c r="H14" s="24"/>
      <c r="I14" s="9">
        <v>4</v>
      </c>
      <c r="L14" s="65" t="s">
        <v>65</v>
      </c>
      <c r="M14" s="66">
        <f>$I$21</f>
        <v>64.005096313693031</v>
      </c>
      <c r="N14" s="67">
        <f>$H$21</f>
        <v>0.96</v>
      </c>
      <c r="O14" s="64" t="s">
        <v>66</v>
      </c>
    </row>
    <row r="15" spans="1:17" ht="20.25" customHeight="1">
      <c r="B15" s="7" t="s">
        <v>7</v>
      </c>
      <c r="C15" s="5" t="s">
        <v>20</v>
      </c>
      <c r="D15" s="5"/>
      <c r="E15" s="5"/>
      <c r="F15" s="2"/>
      <c r="G15" s="23"/>
      <c r="H15" s="24"/>
      <c r="I15" s="6">
        <f>I12+I13-I14</f>
        <v>61.802983999999995</v>
      </c>
      <c r="L15" s="65"/>
      <c r="M15" s="68"/>
      <c r="N15" s="68"/>
      <c r="O15" t="s">
        <v>67</v>
      </c>
      <c r="Q15" s="63">
        <f>$F$21</f>
        <v>1.21</v>
      </c>
    </row>
    <row r="16" spans="1:17" ht="20.25" customHeight="1">
      <c r="B16" s="4" t="s">
        <v>5</v>
      </c>
      <c r="C16" s="83" t="s">
        <v>16</v>
      </c>
      <c r="D16" s="83"/>
      <c r="E16" s="83"/>
      <c r="F16" s="82">
        <v>0.03</v>
      </c>
      <c r="G16" s="22"/>
      <c r="H16" s="22"/>
      <c r="I16" s="6">
        <f>F16*I15/100</f>
        <v>1.8540895199999997E-2</v>
      </c>
    </row>
    <row r="17" spans="2:15" ht="20.25" customHeight="1">
      <c r="B17" s="4" t="s">
        <v>5</v>
      </c>
      <c r="C17" s="83" t="s">
        <v>17</v>
      </c>
      <c r="D17" s="83"/>
      <c r="E17" s="83"/>
      <c r="F17" s="82">
        <v>0.08</v>
      </c>
      <c r="G17" s="22"/>
      <c r="H17" s="22"/>
      <c r="I17" s="6">
        <f>F17*I15/100</f>
        <v>4.9442387199999993E-2</v>
      </c>
      <c r="L17" s="69" t="s">
        <v>68</v>
      </c>
      <c r="M17" s="70">
        <f>$I$20</f>
        <v>0.13412903129303999</v>
      </c>
      <c r="N17" s="71">
        <f>$F$20</f>
        <v>0.21</v>
      </c>
    </row>
    <row r="18" spans="2:15" ht="20.25" customHeight="1">
      <c r="B18" s="4" t="s">
        <v>5</v>
      </c>
      <c r="C18" s="83" t="s">
        <v>19</v>
      </c>
      <c r="D18" s="83"/>
      <c r="E18" s="83"/>
      <c r="F18" s="3"/>
      <c r="G18" s="3"/>
      <c r="H18" s="3"/>
      <c r="I18" s="9">
        <v>2</v>
      </c>
      <c r="L18" s="69" t="s">
        <v>69</v>
      </c>
      <c r="M18" s="70">
        <f>$I$19</f>
        <v>63.870967282399995</v>
      </c>
      <c r="N18" s="71">
        <f>$H$19</f>
        <v>0</v>
      </c>
      <c r="O18" t="s">
        <v>70</v>
      </c>
    </row>
    <row r="19" spans="2:15" ht="20.25" customHeight="1">
      <c r="B19" s="7" t="s">
        <v>7</v>
      </c>
      <c r="C19" s="92" t="s">
        <v>25</v>
      </c>
      <c r="D19" s="92"/>
      <c r="E19" s="92"/>
      <c r="F19" s="2"/>
      <c r="G19" s="2"/>
      <c r="H19" s="2"/>
      <c r="I19" s="6">
        <f>SUM(I15:I18)</f>
        <v>63.870967282399995</v>
      </c>
      <c r="L19" s="10"/>
      <c r="M19" s="2"/>
    </row>
    <row r="20" spans="2:15" ht="20.25" customHeight="1">
      <c r="B20" s="4" t="s">
        <v>5</v>
      </c>
      <c r="C20" s="83" t="s">
        <v>21</v>
      </c>
      <c r="D20" s="83"/>
      <c r="E20" s="83"/>
      <c r="F20" s="82">
        <v>0.21</v>
      </c>
      <c r="G20" s="22"/>
      <c r="H20" s="22">
        <v>1</v>
      </c>
      <c r="I20" s="6">
        <f>F20*I19/100</f>
        <v>0.13412903129303999</v>
      </c>
      <c r="L20" s="72" t="s">
        <v>72</v>
      </c>
      <c r="M20" s="73">
        <f>$I$18</f>
        <v>2</v>
      </c>
      <c r="N20" s="74"/>
    </row>
    <row r="21" spans="2:15" ht="20.25" customHeight="1">
      <c r="B21" s="7" t="s">
        <v>7</v>
      </c>
      <c r="C21" s="92" t="s">
        <v>26</v>
      </c>
      <c r="D21" s="92"/>
      <c r="E21" s="92"/>
      <c r="F21" s="2">
        <f>H20+F20</f>
        <v>1.21</v>
      </c>
      <c r="G21" s="23"/>
      <c r="H21" s="23">
        <f>(F23-F22)</f>
        <v>0.96</v>
      </c>
      <c r="I21" s="6">
        <f>SUM(I19:I20)</f>
        <v>64.005096313693031</v>
      </c>
      <c r="L21" s="72" t="s">
        <v>73</v>
      </c>
      <c r="M21" s="73">
        <f>$I$17</f>
        <v>4.9442387199999993E-2</v>
      </c>
      <c r="N21" s="75">
        <f>$F$17</f>
        <v>0.08</v>
      </c>
    </row>
    <row r="22" spans="2:15" ht="20.25" customHeight="1">
      <c r="B22" s="4" t="s">
        <v>5</v>
      </c>
      <c r="C22" s="83" t="s">
        <v>22</v>
      </c>
      <c r="D22" s="83"/>
      <c r="E22" s="83"/>
      <c r="F22" s="82">
        <v>0.04</v>
      </c>
      <c r="G22" s="22"/>
      <c r="H22" s="22"/>
      <c r="I22" s="6">
        <f>F22*I21/H21</f>
        <v>2.6668790130705431</v>
      </c>
      <c r="L22" s="72" t="s">
        <v>74</v>
      </c>
      <c r="M22" s="73">
        <f>$I$16</f>
        <v>1.8540895199999997E-2</v>
      </c>
      <c r="N22" s="75">
        <f>$F$16</f>
        <v>0.03</v>
      </c>
    </row>
    <row r="23" spans="2:15" ht="20.25" customHeight="1">
      <c r="B23" s="7" t="s">
        <v>7</v>
      </c>
      <c r="C23" s="92" t="s">
        <v>27</v>
      </c>
      <c r="D23" s="92"/>
      <c r="E23" s="92"/>
      <c r="F23" s="2">
        <v>1</v>
      </c>
      <c r="G23" s="23"/>
      <c r="H23" s="23">
        <f>(F25-F24)</f>
        <v>0.95</v>
      </c>
      <c r="I23" s="6">
        <f>SUM(I21:I22)</f>
        <v>66.671975326763572</v>
      </c>
      <c r="L23" s="72" t="s">
        <v>75</v>
      </c>
      <c r="M23" s="73">
        <f>$I$15</f>
        <v>61.802983999999995</v>
      </c>
      <c r="N23" s="75">
        <f>$F$15</f>
        <v>0</v>
      </c>
      <c r="O23" t="s">
        <v>76</v>
      </c>
    </row>
    <row r="24" spans="2:15" ht="20.25" customHeight="1">
      <c r="B24" s="4" t="s">
        <v>5</v>
      </c>
      <c r="C24" s="83" t="s">
        <v>28</v>
      </c>
      <c r="D24" s="83"/>
      <c r="E24" s="83"/>
      <c r="F24" s="82">
        <v>0.05</v>
      </c>
      <c r="G24" s="22"/>
      <c r="H24" s="22"/>
      <c r="I24" s="6">
        <f>F24*I23/H23</f>
        <v>3.509051332987557</v>
      </c>
      <c r="L24" s="10"/>
    </row>
    <row r="25" spans="2:15" ht="20.25" customHeight="1">
      <c r="B25" s="7" t="s">
        <v>7</v>
      </c>
      <c r="C25" s="10" t="s">
        <v>29</v>
      </c>
      <c r="D25" s="10"/>
      <c r="E25" s="10"/>
      <c r="F25" s="2">
        <v>1</v>
      </c>
      <c r="G25" s="23"/>
      <c r="H25" s="23">
        <f>(F27-F26)</f>
        <v>0.92999999999999994</v>
      </c>
      <c r="I25" s="6">
        <f>SUM(I23:I24)</f>
        <v>70.181026659751126</v>
      </c>
      <c r="L25" s="76" t="s">
        <v>77</v>
      </c>
      <c r="M25" s="77">
        <f>$I$14</f>
        <v>4</v>
      </c>
      <c r="N25" s="78"/>
    </row>
    <row r="26" spans="2:15" ht="20.25" customHeight="1">
      <c r="B26" s="4" t="s">
        <v>5</v>
      </c>
      <c r="C26" s="83" t="s">
        <v>24</v>
      </c>
      <c r="D26" s="83"/>
      <c r="E26" s="83"/>
      <c r="F26" s="82">
        <v>7.0000000000000007E-2</v>
      </c>
      <c r="G26" s="22"/>
      <c r="H26" s="22"/>
      <c r="I26" s="6">
        <f>F26*I25/H25</f>
        <v>5.282442866862989</v>
      </c>
      <c r="L26" s="76" t="s">
        <v>78</v>
      </c>
      <c r="M26" s="77">
        <f>$I$13</f>
        <v>1</v>
      </c>
      <c r="N26" s="78"/>
    </row>
    <row r="27" spans="2:15" ht="20.25" customHeight="1">
      <c r="B27" s="7" t="s">
        <v>7</v>
      </c>
      <c r="C27" s="92" t="s">
        <v>30</v>
      </c>
      <c r="D27" s="92"/>
      <c r="E27" s="92"/>
      <c r="F27" s="23">
        <v>1</v>
      </c>
      <c r="G27" s="23"/>
      <c r="H27" s="24"/>
      <c r="I27" s="6">
        <f>SUM(I25:I26)</f>
        <v>75.463469526614119</v>
      </c>
      <c r="L27" s="10"/>
    </row>
    <row r="28" spans="2:15">
      <c r="L28" s="79" t="s">
        <v>15</v>
      </c>
      <c r="M28" s="80">
        <f>$I$12</f>
        <v>64.802983999999995</v>
      </c>
      <c r="N28" s="81">
        <v>1</v>
      </c>
      <c r="O28" t="s">
        <v>79</v>
      </c>
    </row>
    <row r="29" spans="2:15">
      <c r="L29" s="79" t="s">
        <v>13</v>
      </c>
      <c r="M29" s="80">
        <f>$I$11</f>
        <v>17.649999999999999</v>
      </c>
      <c r="N29" s="81">
        <v>1</v>
      </c>
    </row>
    <row r="30" spans="2:15">
      <c r="L30" s="79" t="s">
        <v>8</v>
      </c>
      <c r="M30" s="80">
        <f>$I$7</f>
        <v>47.152983999999996</v>
      </c>
      <c r="N30" s="81">
        <v>1</v>
      </c>
    </row>
  </sheetData>
  <sheetProtection algorithmName="SHA-512" hashValue="/FmXGbptos7YFFR4dL1czVh1ONfNpuW8CUudQgBhMVCX7XM3a9liLBH//HASiO+YeGyy0smnzY+sOXZopT6VyA==" saltValue="G7HmkQkRMQ31HRnmJwndQg==" spinCount="100000" sheet="1" objects="1" scenarios="1" selectLockedCells="1"/>
  <mergeCells count="20">
    <mergeCell ref="F4:H4"/>
    <mergeCell ref="C19:E19"/>
    <mergeCell ref="C5:E5"/>
    <mergeCell ref="C6:E6"/>
    <mergeCell ref="C7:E7"/>
    <mergeCell ref="C8:E8"/>
    <mergeCell ref="C9:E9"/>
    <mergeCell ref="C10:E10"/>
    <mergeCell ref="C11:E11"/>
    <mergeCell ref="C12:E12"/>
    <mergeCell ref="C16:E16"/>
    <mergeCell ref="C17:E17"/>
    <mergeCell ref="C18:E18"/>
    <mergeCell ref="C27:E27"/>
    <mergeCell ref="C20:E20"/>
    <mergeCell ref="C21:E21"/>
    <mergeCell ref="C22:E22"/>
    <mergeCell ref="C23:E23"/>
    <mergeCell ref="C24:E24"/>
    <mergeCell ref="C26:E26"/>
  </mergeCells>
  <pageMargins left="0.7" right="0.7" top="0.78740157499999996" bottom="0.78740157499999996" header="0.3" footer="0.3"/>
  <ignoredErrors>
    <ignoredError sqref="I22:I26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33DDB-5DEF-4945-841E-950F5DF3BC5D}">
  <sheetPr codeName="Tabelle5"/>
  <dimension ref="A1:L27"/>
  <sheetViews>
    <sheetView zoomScale="130" zoomScaleNormal="130" workbookViewId="0">
      <selection activeCell="F26" sqref="F26"/>
    </sheetView>
  </sheetViews>
  <sheetFormatPr defaultColWidth="11.42578125" defaultRowHeight="15"/>
  <cols>
    <col min="1" max="4" width="11.42578125" style="8"/>
    <col min="5" max="5" width="18" style="8" customWidth="1"/>
    <col min="6" max="6" width="11.42578125" style="8"/>
    <col min="7" max="7" width="8" style="8" customWidth="1"/>
    <col min="8" max="10" width="11.42578125" style="8"/>
    <col min="11" max="11" width="5.7109375" customWidth="1"/>
    <col min="12" max="12" width="26.140625" customWidth="1"/>
    <col min="13" max="13" width="10.28515625" customWidth="1"/>
    <col min="16" max="16" width="21.5703125" customWidth="1"/>
  </cols>
  <sheetData>
    <row r="1" spans="1:12" ht="18.75">
      <c r="A1" s="12" t="s">
        <v>31</v>
      </c>
    </row>
    <row r="4" spans="1:12" ht="18.75">
      <c r="B4"/>
      <c r="C4"/>
      <c r="D4"/>
      <c r="E4"/>
      <c r="F4" s="90" t="s">
        <v>3</v>
      </c>
      <c r="G4" s="90"/>
      <c r="H4" s="90"/>
      <c r="I4"/>
      <c r="L4" s="11" t="s">
        <v>1</v>
      </c>
    </row>
    <row r="5" spans="1:12" ht="20.25" customHeight="1">
      <c r="B5"/>
      <c r="C5" s="83" t="s">
        <v>4</v>
      </c>
      <c r="D5" s="83"/>
      <c r="E5" s="83"/>
      <c r="F5" s="13"/>
      <c r="G5" s="13"/>
      <c r="H5" s="14"/>
      <c r="I5" s="9">
        <v>47.12</v>
      </c>
    </row>
    <row r="6" spans="1:12" ht="20.25" customHeight="1">
      <c r="B6" s="4" t="s">
        <v>5</v>
      </c>
      <c r="C6" s="83" t="s">
        <v>6</v>
      </c>
      <c r="D6" s="83"/>
      <c r="E6" s="83"/>
      <c r="F6" s="15">
        <v>7</v>
      </c>
      <c r="G6" s="21"/>
      <c r="H6" s="20"/>
      <c r="I6" s="6">
        <f>F6*I5/100</f>
        <v>3.2983999999999996</v>
      </c>
    </row>
    <row r="7" spans="1:12" ht="20.25" customHeight="1">
      <c r="B7" s="7" t="s">
        <v>7</v>
      </c>
      <c r="C7" s="92" t="s">
        <v>8</v>
      </c>
      <c r="D7" s="92"/>
      <c r="E7" s="92"/>
      <c r="F7" s="17"/>
      <c r="G7" s="17"/>
      <c r="H7" s="17"/>
      <c r="I7" s="6">
        <f>SUM(I5:I6)</f>
        <v>50.418399999999998</v>
      </c>
    </row>
    <row r="8" spans="1:12" ht="20.25" customHeight="1">
      <c r="B8" s="3"/>
      <c r="C8" s="83" t="s">
        <v>9</v>
      </c>
      <c r="D8" s="83"/>
      <c r="E8" s="83"/>
      <c r="F8" s="17"/>
      <c r="G8" s="17"/>
      <c r="H8" s="17"/>
      <c r="I8" s="9">
        <v>15</v>
      </c>
    </row>
    <row r="9" spans="1:12" ht="20.25" customHeight="1">
      <c r="B9" s="4" t="s">
        <v>5</v>
      </c>
      <c r="C9" s="83" t="s">
        <v>10</v>
      </c>
      <c r="D9" s="83"/>
      <c r="E9" s="83"/>
      <c r="F9" s="15">
        <v>100</v>
      </c>
      <c r="G9" s="21"/>
      <c r="H9" s="20"/>
      <c r="I9" s="6">
        <f>F9*I8/100</f>
        <v>15</v>
      </c>
    </row>
    <row r="10" spans="1:12" ht="20.25" customHeight="1">
      <c r="B10" s="4" t="s">
        <v>5</v>
      </c>
      <c r="C10" s="83" t="s">
        <v>11</v>
      </c>
      <c r="D10" s="83"/>
      <c r="E10" s="83"/>
      <c r="F10" s="17"/>
      <c r="G10" s="17"/>
      <c r="H10" s="17"/>
      <c r="I10" s="9">
        <v>2.5</v>
      </c>
    </row>
    <row r="11" spans="1:12" ht="20.25" customHeight="1">
      <c r="B11" s="7" t="s">
        <v>7</v>
      </c>
      <c r="C11" s="92" t="s">
        <v>13</v>
      </c>
      <c r="D11" s="92"/>
      <c r="E11" s="92"/>
      <c r="F11" s="17"/>
      <c r="G11" s="17"/>
      <c r="H11" s="17"/>
      <c r="I11" s="6">
        <f>SUM(I8:I10)</f>
        <v>32.5</v>
      </c>
    </row>
    <row r="12" spans="1:12" ht="20.25" customHeight="1">
      <c r="B12" s="7" t="s">
        <v>7</v>
      </c>
      <c r="C12" s="92" t="s">
        <v>15</v>
      </c>
      <c r="D12" s="92"/>
      <c r="E12" s="92"/>
      <c r="F12" s="17"/>
      <c r="G12" s="17"/>
      <c r="H12" s="18"/>
      <c r="I12" s="6">
        <f>SUM(I7,I11)</f>
        <v>82.918399999999991</v>
      </c>
    </row>
    <row r="13" spans="1:12" ht="20.25" customHeight="1">
      <c r="B13" s="7" t="s">
        <v>5</v>
      </c>
      <c r="C13" s="1" t="s">
        <v>12</v>
      </c>
      <c r="D13" s="5"/>
      <c r="E13" s="5"/>
      <c r="F13" s="18"/>
      <c r="G13" s="18"/>
      <c r="H13" s="18"/>
      <c r="I13" s="9">
        <v>1</v>
      </c>
    </row>
    <row r="14" spans="1:12" ht="20.25" customHeight="1">
      <c r="B14" s="7" t="s">
        <v>18</v>
      </c>
      <c r="C14" s="1" t="s">
        <v>14</v>
      </c>
      <c r="D14" s="5"/>
      <c r="E14" s="5"/>
      <c r="F14" s="18"/>
      <c r="G14" s="18"/>
      <c r="H14" s="18"/>
      <c r="I14" s="9">
        <v>4</v>
      </c>
    </row>
    <row r="15" spans="1:12" ht="20.25" customHeight="1">
      <c r="B15" s="7" t="s">
        <v>7</v>
      </c>
      <c r="C15" s="5" t="s">
        <v>20</v>
      </c>
      <c r="D15" s="5"/>
      <c r="E15" s="5"/>
      <c r="F15" s="17"/>
      <c r="G15" s="17"/>
      <c r="H15" s="18"/>
      <c r="I15" s="6">
        <f>I12+I13-I14</f>
        <v>79.918399999999991</v>
      </c>
    </row>
    <row r="16" spans="1:12" ht="20.25" customHeight="1">
      <c r="B16" s="4" t="s">
        <v>5</v>
      </c>
      <c r="C16" s="83" t="s">
        <v>16</v>
      </c>
      <c r="D16" s="83"/>
      <c r="E16" s="83"/>
      <c r="F16" s="15">
        <v>3</v>
      </c>
      <c r="G16" s="21"/>
      <c r="H16" s="20"/>
      <c r="I16" s="6">
        <f>F16*I15/100</f>
        <v>2.3975519999999997</v>
      </c>
    </row>
    <row r="17" spans="2:9" ht="20.25" customHeight="1">
      <c r="B17" s="4" t="s">
        <v>5</v>
      </c>
      <c r="C17" s="83" t="s">
        <v>17</v>
      </c>
      <c r="D17" s="83"/>
      <c r="E17" s="83"/>
      <c r="F17" s="15">
        <v>8</v>
      </c>
      <c r="G17" s="21"/>
      <c r="H17" s="20"/>
      <c r="I17" s="6">
        <f>F17*I15/100</f>
        <v>6.3934719999999992</v>
      </c>
    </row>
    <row r="18" spans="2:9" ht="20.25" customHeight="1">
      <c r="B18" s="4" t="s">
        <v>5</v>
      </c>
      <c r="C18" s="83" t="s">
        <v>19</v>
      </c>
      <c r="D18" s="83"/>
      <c r="E18" s="83"/>
      <c r="F18" s="17"/>
      <c r="G18" s="17"/>
      <c r="H18" s="17"/>
      <c r="I18" s="9">
        <v>2</v>
      </c>
    </row>
    <row r="19" spans="2:9" ht="20.25" customHeight="1">
      <c r="B19" s="7" t="s">
        <v>7</v>
      </c>
      <c r="C19" s="92" t="s">
        <v>25</v>
      </c>
      <c r="D19" s="92"/>
      <c r="E19" s="92"/>
      <c r="F19" s="2"/>
      <c r="G19" s="2"/>
      <c r="H19" s="2">
        <v>1</v>
      </c>
      <c r="I19" s="6">
        <f>SUM(I15:I18)</f>
        <v>90.709423999999999</v>
      </c>
    </row>
    <row r="20" spans="2:9" ht="20.25" customHeight="1">
      <c r="B20" s="4" t="s">
        <v>5</v>
      </c>
      <c r="C20" s="83" t="s">
        <v>21</v>
      </c>
      <c r="D20" s="83"/>
      <c r="E20" s="83"/>
      <c r="F20" s="82">
        <v>0.21</v>
      </c>
      <c r="G20" s="22"/>
      <c r="H20" s="22"/>
      <c r="I20" s="6">
        <f>F20*I19/100</f>
        <v>0.1904897904</v>
      </c>
    </row>
    <row r="21" spans="2:9" ht="20.25" customHeight="1">
      <c r="B21" s="7" t="s">
        <v>7</v>
      </c>
      <c r="C21" s="92" t="s">
        <v>26</v>
      </c>
      <c r="D21" s="92"/>
      <c r="E21" s="92"/>
      <c r="F21" s="2">
        <f>SUM(H19+F20)</f>
        <v>1.21</v>
      </c>
      <c r="G21" s="23"/>
      <c r="H21" s="23">
        <f>(F23-F22)</f>
        <v>0.96</v>
      </c>
      <c r="I21" s="6">
        <f>SUM(I19:I20)</f>
        <v>90.899913790399992</v>
      </c>
    </row>
    <row r="22" spans="2:9" ht="20.25" customHeight="1">
      <c r="B22" s="4" t="s">
        <v>5</v>
      </c>
      <c r="C22" s="83" t="s">
        <v>22</v>
      </c>
      <c r="D22" s="83"/>
      <c r="E22" s="83"/>
      <c r="F22" s="82">
        <v>0.04</v>
      </c>
      <c r="G22" s="22"/>
      <c r="H22" s="22"/>
      <c r="I22" s="6">
        <f>F22*I21/H21</f>
        <v>3.7874964079333329</v>
      </c>
    </row>
    <row r="23" spans="2:9" ht="20.25" customHeight="1">
      <c r="B23" s="7" t="s">
        <v>7</v>
      </c>
      <c r="C23" s="92" t="s">
        <v>27</v>
      </c>
      <c r="D23" s="92"/>
      <c r="E23" s="92"/>
      <c r="F23" s="2">
        <v>1</v>
      </c>
      <c r="G23" s="23"/>
      <c r="H23" s="23">
        <f>(F25-F24)</f>
        <v>0.95</v>
      </c>
      <c r="I23" s="6">
        <f>SUM(I21:I22)</f>
        <v>94.687410198333325</v>
      </c>
    </row>
    <row r="24" spans="2:9" ht="20.25" customHeight="1">
      <c r="B24" s="4" t="s">
        <v>5</v>
      </c>
      <c r="C24" s="83" t="s">
        <v>28</v>
      </c>
      <c r="D24" s="83"/>
      <c r="E24" s="83"/>
      <c r="F24" s="82">
        <v>0.05</v>
      </c>
      <c r="G24" s="22"/>
      <c r="H24" s="22"/>
      <c r="I24" s="6">
        <f>F24*I23/H23</f>
        <v>4.9835479051754383</v>
      </c>
    </row>
    <row r="25" spans="2:9" ht="20.25" customHeight="1">
      <c r="B25" s="7" t="s">
        <v>7</v>
      </c>
      <c r="C25" s="10" t="s">
        <v>29</v>
      </c>
      <c r="D25" s="10"/>
      <c r="E25" s="10"/>
      <c r="F25" s="2">
        <v>1</v>
      </c>
      <c r="G25" s="23"/>
      <c r="H25" s="23">
        <f>(F27-F26)</f>
        <v>0.92999999999999994</v>
      </c>
      <c r="I25" s="6">
        <f>SUM(I23:I24)</f>
        <v>99.670958103508767</v>
      </c>
    </row>
    <row r="26" spans="2:9" ht="20.25" customHeight="1">
      <c r="B26" s="4" t="s">
        <v>5</v>
      </c>
      <c r="C26" s="83" t="s">
        <v>24</v>
      </c>
      <c r="D26" s="83"/>
      <c r="E26" s="83"/>
      <c r="F26" s="82">
        <v>7.0000000000000007E-2</v>
      </c>
      <c r="G26" s="22"/>
      <c r="H26" s="22"/>
      <c r="I26" s="6">
        <f>F26*I25/H25</f>
        <v>7.5021151260705539</v>
      </c>
    </row>
    <row r="27" spans="2:9" ht="20.25" customHeight="1">
      <c r="B27" s="7" t="s">
        <v>7</v>
      </c>
      <c r="C27" s="92" t="s">
        <v>30</v>
      </c>
      <c r="D27" s="92"/>
      <c r="E27" s="92"/>
      <c r="F27" s="23">
        <v>1</v>
      </c>
      <c r="G27" s="23"/>
      <c r="H27" s="24"/>
      <c r="I27" s="6">
        <f>SUM(I25:I26)</f>
        <v>107.17307322957932</v>
      </c>
    </row>
  </sheetData>
  <sheetProtection algorithmName="SHA-512" hashValue="08PKqpYUR/TyWHIkUaKlhjClk/xLcdPLzKACzSJ4TixAsQU5M7xO+iWJlZl5BbjwsKbUHVsMAc1hzNiEDzcxWQ==" saltValue="qW4GX/uxQZ16PoJNW1qZkw==" spinCount="100000" sheet="1" objects="1" scenarios="1" selectLockedCells="1"/>
  <mergeCells count="20">
    <mergeCell ref="F4:H4"/>
    <mergeCell ref="C19:E19"/>
    <mergeCell ref="C5:E5"/>
    <mergeCell ref="C6:E6"/>
    <mergeCell ref="C7:E7"/>
    <mergeCell ref="C8:E8"/>
    <mergeCell ref="C9:E9"/>
    <mergeCell ref="C10:E10"/>
    <mergeCell ref="C11:E11"/>
    <mergeCell ref="C12:E12"/>
    <mergeCell ref="C16:E16"/>
    <mergeCell ref="C17:E17"/>
    <mergeCell ref="C18:E18"/>
    <mergeCell ref="C27:E27"/>
    <mergeCell ref="C20:E20"/>
    <mergeCell ref="C21:E21"/>
    <mergeCell ref="C22:E22"/>
    <mergeCell ref="C23:E23"/>
    <mergeCell ref="C24:E24"/>
    <mergeCell ref="C26:E26"/>
  </mergeCells>
  <pageMargins left="0.7" right="0.7" top="0.78740157499999996" bottom="0.78740157499999996" header="0.3" footer="0.3"/>
  <ignoredErrors>
    <ignoredError sqref="I22:I26" formula="1"/>
  </ignoredErrors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levant xmlns="b10dcda2-b310-4a1f-9484-06b9e769c926">false</Relevant>
    <Dokumentinhalt xmlns="b10dcda2-b310-4a1f-9484-06b9e769c926" xsi:nil="true"/>
    <Dozent xmlns="b10dcda2-b310-4a1f-9484-06b9e769c926" xsi:nil="true"/>
    <Unterrichtsart xmlns="b10dcda2-b310-4a1f-9484-06b9e769c926" xsi:nil="true"/>
    <lcf76f155ced4ddcb4097134ff3c332f xmlns="b10dcda2-b310-4a1f-9484-06b9e769c926">
      <Terms xmlns="http://schemas.microsoft.com/office/infopath/2007/PartnerControls"/>
    </lcf76f155ced4ddcb4097134ff3c332f>
    <Fach xmlns="b10dcda2-b310-4a1f-9484-06b9e769c926" xsi:nil="true"/>
    <TaxCatchAll xmlns="43cfe61a-4611-4a7c-90e6-fadbdc951b1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273FCA8EF41034DBF373A035DBB0519" ma:contentTypeVersion="20" ma:contentTypeDescription="Ein neues Dokument erstellen." ma:contentTypeScope="" ma:versionID="1dae23ccdb8282d78be380dcaf174ba6">
  <xsd:schema xmlns:xsd="http://www.w3.org/2001/XMLSchema" xmlns:xs="http://www.w3.org/2001/XMLSchema" xmlns:p="http://schemas.microsoft.com/office/2006/metadata/properties" xmlns:ns2="b10dcda2-b310-4a1f-9484-06b9e769c926" xmlns:ns3="43cfe61a-4611-4a7c-90e6-fadbdc951b1f" targetNamespace="http://schemas.microsoft.com/office/2006/metadata/properties" ma:root="true" ma:fieldsID="c43d6e992e11f403bf5e0f496b4ba137" ns2:_="" ns3:_="">
    <xsd:import namespace="b10dcda2-b310-4a1f-9484-06b9e769c926"/>
    <xsd:import namespace="43cfe61a-4611-4a7c-90e6-fadbdc951b1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Unterrichtsart" minOccurs="0"/>
                <xsd:element ref="ns3:SharedWithUsers" minOccurs="0"/>
                <xsd:element ref="ns3:SharedWithDetails" minOccurs="0"/>
                <xsd:element ref="ns2:Relevant" minOccurs="0"/>
                <xsd:element ref="ns2:Fach" minOccurs="0"/>
                <xsd:element ref="ns2:Dokumentinhalt" minOccurs="0"/>
                <xsd:element ref="ns2:Dozent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dcda2-b310-4a1f-9484-06b9e769c9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8af48a06-ed4b-42ab-a976-5013053131a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Unterrichtsart" ma:index="19" nillable="true" ma:displayName="Unterrichtsart" ma:format="Dropdown" ma:internalName="Unterrichtsart">
      <xsd:simpleType>
        <xsd:restriction base="dms:Choice">
          <xsd:enumeration value="AnwP"/>
          <xsd:enumeration value="BGP"/>
          <xsd:enumeration value="FachKO-Mentor"/>
          <xsd:enumeration value="PV"/>
          <xsd:enumeration value="ITS"/>
          <xsd:enumeration value="ITT"/>
          <xsd:enumeration value="WS"/>
        </xsd:restriction>
      </xsd:simpleType>
    </xsd:element>
    <xsd:element name="Relevant" ma:index="22" nillable="true" ma:displayName="Relevant" ma:default="0" ma:description="Datei mit relevantem Inhalt&#10;" ma:format="Dropdown" ma:internalName="Relevant">
      <xsd:simpleType>
        <xsd:restriction base="dms:Boolean"/>
      </xsd:simpleType>
    </xsd:element>
    <xsd:element name="Fach" ma:index="23" nillable="true" ma:displayName="Fach" ma:format="Dropdown" ma:internalName="Fach">
      <xsd:simpleType>
        <xsd:restriction base="dms:Choice">
          <xsd:enumeration value="HK"/>
          <xsd:enumeration value="LAT"/>
          <xsd:enumeration value="Net"/>
          <xsd:enumeration value="Net-Lin"/>
          <xsd:enumeration value="Python"/>
          <xsd:enumeration value="DBSQL"/>
          <xsd:enumeration value="Wiso"/>
        </xsd:restriction>
      </xsd:simpleType>
    </xsd:element>
    <xsd:element name="Dokumentinhalt" ma:index="24" nillable="true" ma:displayName="Dokumentinhalt" ma:description="Was beinhaltet die Datei" ma:format="Dropdown" ma:internalName="Dokumentinhalt">
      <xsd:simpleType>
        <xsd:restriction base="dms:Choice">
          <xsd:enumeration value="Aufgabe"/>
          <xsd:enumeration value="Beispiel"/>
          <xsd:enumeration value="Information"/>
          <xsd:enumeration value="Lösung"/>
        </xsd:restriction>
      </xsd:simpleType>
    </xsd:element>
    <xsd:element name="Dozent" ma:index="25" nillable="true" ma:displayName="Dozent" ma:description="aktuelle/letzte Dozenten " ma:format="Dropdown" ma:internalName="Dozent">
      <xsd:simpleType>
        <xsd:restriction base="dms:Choice">
          <xsd:enumeration value="Engin Bozkurt"/>
          <xsd:enumeration value="Juan Garcia"/>
          <xsd:enumeration value="Gisela Neira"/>
          <xsd:enumeration value="Markus Tefzer"/>
          <xsd:enumeration value="Mike Dietze"/>
          <xsd:enumeration value="Holger Kramer"/>
        </xsd:restriction>
      </xsd:simpleType>
    </xsd:element>
    <xsd:element name="MediaServiceLocation" ma:index="26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cfe61a-4611-4a7c-90e6-fadbdc951b1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005e2a1-5c0c-4f48-8cb7-fcba6beb6564}" ma:internalName="TaxCatchAll" ma:showField="CatchAllData" ma:web="43cfe61a-4611-4a7c-90e6-fadbdc951b1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0AD3B96-817A-46AA-B833-D952DAFEE639}"/>
</file>

<file path=customXml/itemProps2.xml><?xml version="1.0" encoding="utf-8"?>
<ds:datastoreItem xmlns:ds="http://schemas.openxmlformats.org/officeDocument/2006/customXml" ds:itemID="{3AEB70F6-08E2-4952-8961-185C54D99964}"/>
</file>

<file path=customXml/itemProps3.xml><?xml version="1.0" encoding="utf-8"?>
<ds:datastoreItem xmlns:ds="http://schemas.openxmlformats.org/officeDocument/2006/customXml" ds:itemID="{D286D46A-2BEF-4C58-91F1-25D4E0D190C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García</dc:creator>
  <cp:keywords/>
  <dc:description/>
  <cp:lastModifiedBy>El Bouanani, Abderrahim</cp:lastModifiedBy>
  <cp:revision/>
  <dcterms:created xsi:type="dcterms:W3CDTF">2015-06-05T18:19:34Z</dcterms:created>
  <dcterms:modified xsi:type="dcterms:W3CDTF">2024-05-24T06:44:25Z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0x010100A273FCA8EF41034DBF373A035DBB0519</vt:lpwstr>
  </property>
  <property fmtid="{D5CDD505-2E9C-101B-9397-08002B2CF9AE}" pid="3" name="MediaServiceImageTags">
    <vt:lpwstr/>
  </property>
</Properties>
</file>